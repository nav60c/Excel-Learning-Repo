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nav\Downloads\"/>
    </mc:Choice>
  </mc:AlternateContent>
  <xr:revisionPtr revIDLastSave="0" documentId="13_ncr:1_{8969B97D-59C1-46B9-817E-466D08F9828F}" xr6:coauthVersionLast="47" xr6:coauthVersionMax="47" xr10:uidLastSave="{00000000-0000-0000-0000-000000000000}"/>
  <bookViews>
    <workbookView xWindow="-108" yWindow="-108" windowWidth="23256" windowHeight="12576" tabRatio="737" xr2:uid="{00000000-000D-0000-FFFF-FFFF00000000}"/>
  </bookViews>
  <sheets>
    <sheet name="Sales Data" sheetId="1" r:id="rId1"/>
    <sheet name="Kpi Creation" sheetId="3" r:id="rId2"/>
    <sheet name="Dashboard Creation" sheetId="4" r:id="rId3"/>
  </sheets>
  <definedNames>
    <definedName name="_xlnm._FilterDatabase" localSheetId="0" hidden="1">'Sales Data'!$A$1:$U$1</definedName>
    <definedName name="_xlchart.v1.10" hidden="1">'Kpi Creation'!$F$20:$F$27</definedName>
    <definedName name="_xlchart.v1.11" hidden="1">'Kpi Creation'!$G$19</definedName>
    <definedName name="_xlchart.v1.12" hidden="1">'Kpi Creation'!$G$20:$G$27</definedName>
    <definedName name="_xlchart.v1.13" hidden="1">'Kpi Creation'!$F$20:$F$27</definedName>
    <definedName name="_xlchart.v1.14" hidden="1">'Kpi Creation'!$G$19</definedName>
    <definedName name="_xlchart.v1.15" hidden="1">'Kpi Creation'!$G$20:$G$27</definedName>
    <definedName name="_xlchart.v5.0" hidden="1">'Kpi Creation'!$P$18</definedName>
    <definedName name="_xlchart.v5.1" hidden="1">'Kpi Creation'!$P$19:$P$27</definedName>
    <definedName name="_xlchart.v5.16" hidden="1">'Kpi Creation'!$P$18</definedName>
    <definedName name="_xlchart.v5.17" hidden="1">'Kpi Creation'!$P$19:$P$27</definedName>
    <definedName name="_xlchart.v5.18" hidden="1">'Kpi Creation'!$Q$18</definedName>
    <definedName name="_xlchart.v5.19" hidden="1">'Kpi Creation'!$Q$19:$Q$27</definedName>
    <definedName name="_xlchart.v5.2" hidden="1">'Kpi Creation'!$Q$17</definedName>
    <definedName name="_xlchart.v5.3" hidden="1">'Kpi Creation'!$Q$18</definedName>
    <definedName name="_xlchart.v5.4" hidden="1">'Kpi Creation'!$Q$19:$Q$27</definedName>
    <definedName name="_xlchart.v5.5" hidden="1">'Kpi Creation'!$P$18</definedName>
    <definedName name="_xlchart.v5.6" hidden="1">'Kpi Creation'!$P$19:$P$27</definedName>
    <definedName name="_xlchart.v5.7" hidden="1">'Kpi Creation'!$Q$17</definedName>
    <definedName name="_xlchart.v5.8" hidden="1">'Kpi Creation'!$Q$18</definedName>
    <definedName name="_xlchart.v5.9" hidden="1">'Kpi Creation'!$Q$19:$Q$27</definedName>
    <definedName name="_xlcn.WorksheetConnection_SalesDataA1U2011" hidden="1">'Sales Data'!$A$1:$U$201</definedName>
    <definedName name="Slicer_Category">#N/A</definedName>
    <definedName name="Slicer_Gender">#N/A</definedName>
    <definedName name="Slicer_OrderStatus">#N/A</definedName>
    <definedName name="Slicer_State">#N/A</definedName>
    <definedName name="Timeline_OrderDate">#N/A</definedName>
  </definedNames>
  <calcPr calcId="191029"/>
  <pivotCaches>
    <pivotCache cacheId="2191" r:id="rId4"/>
    <pivotCache cacheId="2194" r:id="rId5"/>
    <pivotCache cacheId="2197" r:id="rId6"/>
    <pivotCache cacheId="2200" r:id="rId7"/>
    <pivotCache cacheId="2203" r:id="rId8"/>
    <pivotCache cacheId="2206" r:id="rId9"/>
    <pivotCache cacheId="2209" r:id="rId10"/>
    <pivotCache cacheId="2212" r:id="rId11"/>
  </pivotCaches>
  <extLst>
    <ext xmlns:x14="http://schemas.microsoft.com/office/spreadsheetml/2009/9/main" uri="{876F7934-8845-4945-9796-88D515C7AA90}">
      <x14:pivotCaches>
        <pivotCache cacheId="20"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FCE2AD5D-F65C-4FA6-A056-5C36A1767C68}">
      <x15:dataModel>
        <x15:modelTables>
          <x15:modelTable id="Range" name="Range" connection="WorksheetConnection_Sales Data!$A$1:$U$201"/>
        </x15:modelTables>
        <x15:extLst>
          <ext xmlns:x16="http://schemas.microsoft.com/office/spreadsheetml/2014/11/main" uri="{9835A34E-60A6-4A7C-AAB8-D5F71C897F49}">
            <x16:modelTimeGroupings>
              <x16:modelTimeGrouping tableName="Range"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alcChain.xml><?xml version="1.0" encoding="utf-8"?>
<calcChain xmlns="http://schemas.openxmlformats.org/spreadsheetml/2006/main">
  <c r="Z7" i="3" l="1"/>
  <c r="X7" i="3"/>
  <c r="Q20" i="3"/>
  <c r="Q21" i="3"/>
  <c r="Q22" i="3"/>
  <c r="Q23" i="3"/>
  <c r="Q24" i="3"/>
  <c r="Q25" i="3"/>
  <c r="Q26" i="3"/>
  <c r="Q27" i="3"/>
  <c r="P20" i="3"/>
  <c r="P21" i="3"/>
  <c r="P22" i="3"/>
  <c r="P23" i="3"/>
  <c r="P24" i="3"/>
  <c r="P25" i="3"/>
  <c r="P26" i="3"/>
  <c r="P27" i="3"/>
  <c r="P19" i="3"/>
  <c r="Q19" i="3"/>
  <c r="F21" i="3"/>
  <c r="F22" i="3"/>
  <c r="F23" i="3"/>
  <c r="F24" i="3"/>
  <c r="F25" i="3"/>
  <c r="F26" i="3"/>
  <c r="F27" i="3"/>
  <c r="F20" i="3"/>
  <c r="G21" i="3"/>
  <c r="G22" i="3"/>
  <c r="G23" i="3"/>
  <c r="G24" i="3"/>
  <c r="G25" i="3"/>
  <c r="G26" i="3"/>
  <c r="G27" i="3"/>
  <c r="G2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2F28F7-F28B-4D65-93E7-BBA3C5E6C2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7A2A3A1-AFF3-45D1-98BB-A29E7610EA08}" name="WorksheetConnection_Sales Data!$A$1:$U$201" type="102" refreshedVersion="8" minRefreshableVersion="5">
    <extLst>
      <ext xmlns:x15="http://schemas.microsoft.com/office/spreadsheetml/2010/11/main" uri="{DE250136-89BD-433C-8126-D09CA5730AF9}">
        <x15:connection id="Range" autoDelete="1">
          <x15:rangePr sourceName="_xlcn.WorksheetConnection_SalesDataA1U2011"/>
        </x15:connection>
      </ext>
    </extLst>
  </connection>
</connections>
</file>

<file path=xl/sharedStrings.xml><?xml version="1.0" encoding="utf-8"?>
<sst xmlns="http://schemas.openxmlformats.org/spreadsheetml/2006/main" count="2484" uniqueCount="472">
  <si>
    <t>OrderID</t>
  </si>
  <si>
    <t>OrderDate</t>
  </si>
  <si>
    <t>CustomerID</t>
  </si>
  <si>
    <t>CustomerName</t>
  </si>
  <si>
    <t>Gender</t>
  </si>
  <si>
    <t>Age</t>
  </si>
  <si>
    <t>City</t>
  </si>
  <si>
    <t>State</t>
  </si>
  <si>
    <t>Product</t>
  </si>
  <si>
    <t>Category</t>
  </si>
  <si>
    <t>SubCategory</t>
  </si>
  <si>
    <t>Brand</t>
  </si>
  <si>
    <t>Quantity</t>
  </si>
  <si>
    <t>UnitPrice</t>
  </si>
  <si>
    <t>DiscountPercent</t>
  </si>
  <si>
    <t>DiscountAmount</t>
  </si>
  <si>
    <t>SalesAmount</t>
  </si>
  <si>
    <t>CostPrice</t>
  </si>
  <si>
    <t>Profit</t>
  </si>
  <si>
    <t>PaymentMode</t>
  </si>
  <si>
    <t>OrderStatus</t>
  </si>
  <si>
    <t>ORD00001</t>
  </si>
  <si>
    <t>CUST374</t>
  </si>
  <si>
    <t>Deepak</t>
  </si>
  <si>
    <t>Male</t>
  </si>
  <si>
    <t>Bengaluru</t>
  </si>
  <si>
    <t>Karnataka</t>
  </si>
  <si>
    <t>Backpack</t>
  </si>
  <si>
    <t>Accessories</t>
  </si>
  <si>
    <t>Nike</t>
  </si>
  <si>
    <t>UPI</t>
  </si>
  <si>
    <t>Delivered</t>
  </si>
  <si>
    <t>ORD00002</t>
  </si>
  <si>
    <t>CUST139</t>
  </si>
  <si>
    <t>Priya</t>
  </si>
  <si>
    <t>Female</t>
  </si>
  <si>
    <t>Lucknow</t>
  </si>
  <si>
    <t>Uttar Pradesh</t>
  </si>
  <si>
    <t>Shoes</t>
  </si>
  <si>
    <t>Fashion</t>
  </si>
  <si>
    <t>Debit Card</t>
  </si>
  <si>
    <t>ORD00003</t>
  </si>
  <si>
    <t>CUST286</t>
  </si>
  <si>
    <t>Riya</t>
  </si>
  <si>
    <t>Kolkata</t>
  </si>
  <si>
    <t>West Bengal</t>
  </si>
  <si>
    <t>Phone</t>
  </si>
  <si>
    <t>Electronics</t>
  </si>
  <si>
    <t>HP</t>
  </si>
  <si>
    <t>Cancelled</t>
  </si>
  <si>
    <t>ORD00004</t>
  </si>
  <si>
    <t>CUST421</t>
  </si>
  <si>
    <t>Rahul</t>
  </si>
  <si>
    <t>Keyboard</t>
  </si>
  <si>
    <t>Boat</t>
  </si>
  <si>
    <t>Net Banking</t>
  </si>
  <si>
    <t>ORD00005</t>
  </si>
  <si>
    <t>CUST647</t>
  </si>
  <si>
    <t>Anjali</t>
  </si>
  <si>
    <t>Mumbai</t>
  </si>
  <si>
    <t>Maharashtra</t>
  </si>
  <si>
    <t>ORD00006</t>
  </si>
  <si>
    <t>CUST126</t>
  </si>
  <si>
    <t>Camera</t>
  </si>
  <si>
    <t>Credit Card</t>
  </si>
  <si>
    <t>ORD00007</t>
  </si>
  <si>
    <t>CUST161</t>
  </si>
  <si>
    <t>Laptop</t>
  </si>
  <si>
    <t>Processing</t>
  </si>
  <si>
    <t>ORD00008</t>
  </si>
  <si>
    <t>CUST852</t>
  </si>
  <si>
    <t>Neha</t>
  </si>
  <si>
    <t>Chennai</t>
  </si>
  <si>
    <t>Tamil Nadu</t>
  </si>
  <si>
    <t>ORD00009</t>
  </si>
  <si>
    <t>CUST523</t>
  </si>
  <si>
    <t>Karan</t>
  </si>
  <si>
    <t>ORD00010</t>
  </si>
  <si>
    <t>CUST719</t>
  </si>
  <si>
    <t>Sneha</t>
  </si>
  <si>
    <t>Headphones</t>
  </si>
  <si>
    <t>Lenovo</t>
  </si>
  <si>
    <t>ORD00011</t>
  </si>
  <si>
    <t>CUST390</t>
  </si>
  <si>
    <t>ORD00012</t>
  </si>
  <si>
    <t>CUST994</t>
  </si>
  <si>
    <t>Rohit</t>
  </si>
  <si>
    <t>Jaipur</t>
  </si>
  <si>
    <t>Rajasthan</t>
  </si>
  <si>
    <t>Dell</t>
  </si>
  <si>
    <t>Shipped</t>
  </si>
  <si>
    <t>ORD00013</t>
  </si>
  <si>
    <t>CUST939</t>
  </si>
  <si>
    <t>Arjun</t>
  </si>
  <si>
    <t>Watch</t>
  </si>
  <si>
    <t>Cash</t>
  </si>
  <si>
    <t>ORD00014</t>
  </si>
  <si>
    <t>CUST761</t>
  </si>
  <si>
    <t>Delhi</t>
  </si>
  <si>
    <t>ORD00015</t>
  </si>
  <si>
    <t>CUST377</t>
  </si>
  <si>
    <t>Ahmedabad</t>
  </si>
  <si>
    <t>Gujarat</t>
  </si>
  <si>
    <t>ORD00016</t>
  </si>
  <si>
    <t>CUST169</t>
  </si>
  <si>
    <t>Sony</t>
  </si>
  <si>
    <t>ORD00017</t>
  </si>
  <si>
    <t>CUST843</t>
  </si>
  <si>
    <t>ORD00018</t>
  </si>
  <si>
    <t>CUST731</t>
  </si>
  <si>
    <t>Hyderabad</t>
  </si>
  <si>
    <t>Telangana</t>
  </si>
  <si>
    <t>ORD00019</t>
  </si>
  <si>
    <t>CUST621</t>
  </si>
  <si>
    <t>ORD00020</t>
  </si>
  <si>
    <t>CUST277</t>
  </si>
  <si>
    <t>Aakash</t>
  </si>
  <si>
    <t>ORD00021</t>
  </si>
  <si>
    <t>CUST394</t>
  </si>
  <si>
    <t>ORD00022</t>
  </si>
  <si>
    <t>CUST558</t>
  </si>
  <si>
    <t>Nisha</t>
  </si>
  <si>
    <t>ORD00023</t>
  </si>
  <si>
    <t>CUST410</t>
  </si>
  <si>
    <t>ORD00024</t>
  </si>
  <si>
    <t>CUST910</t>
  </si>
  <si>
    <t>ORD00025</t>
  </si>
  <si>
    <t>CUST449</t>
  </si>
  <si>
    <t>Amit</t>
  </si>
  <si>
    <t>ORD00026</t>
  </si>
  <si>
    <t>CUST593</t>
  </si>
  <si>
    <t>ORD00027</t>
  </si>
  <si>
    <t>CUST828</t>
  </si>
  <si>
    <t>Vikas</t>
  </si>
  <si>
    <t>ORD00028</t>
  </si>
  <si>
    <t>CUST130</t>
  </si>
  <si>
    <t>ORD00029</t>
  </si>
  <si>
    <t>CUST691</t>
  </si>
  <si>
    <t>ORD00030</t>
  </si>
  <si>
    <t>CUST352</t>
  </si>
  <si>
    <t>ORD00031</t>
  </si>
  <si>
    <t>CUST454</t>
  </si>
  <si>
    <t>ORD00032</t>
  </si>
  <si>
    <t>CUST723</t>
  </si>
  <si>
    <t>ORD00033</t>
  </si>
  <si>
    <t>CUST132</t>
  </si>
  <si>
    <t>Pune</t>
  </si>
  <si>
    <t>ORD00034</t>
  </si>
  <si>
    <t>CUST350</t>
  </si>
  <si>
    <t>ORD00035</t>
  </si>
  <si>
    <t>CUST683</t>
  </si>
  <si>
    <t>Samsung</t>
  </si>
  <si>
    <t>ORD00036</t>
  </si>
  <si>
    <t>CUST419</t>
  </si>
  <si>
    <t>ORD00037</t>
  </si>
  <si>
    <t>CUST193</t>
  </si>
  <si>
    <t>ORD00038</t>
  </si>
  <si>
    <t>ORD00039</t>
  </si>
  <si>
    <t>CUST896</t>
  </si>
  <si>
    <t>ORD00040</t>
  </si>
  <si>
    <t>CUST624</t>
  </si>
  <si>
    <t>ORD00041</t>
  </si>
  <si>
    <t>CUST978</t>
  </si>
  <si>
    <t>ORD00042</t>
  </si>
  <si>
    <t>CUST183</t>
  </si>
  <si>
    <t>ORD00043</t>
  </si>
  <si>
    <t>CUST813</t>
  </si>
  <si>
    <t>Pooja</t>
  </si>
  <si>
    <t>Apple</t>
  </si>
  <si>
    <t>ORD00044</t>
  </si>
  <si>
    <t>CUST112</t>
  </si>
  <si>
    <t>ORD00045</t>
  </si>
  <si>
    <t>CUST875</t>
  </si>
  <si>
    <t>ORD00046</t>
  </si>
  <si>
    <t>CUST676</t>
  </si>
  <si>
    <t>ORD00047</t>
  </si>
  <si>
    <t>CUST670</t>
  </si>
  <si>
    <t>ORD00048</t>
  </si>
  <si>
    <t>CUST278</t>
  </si>
  <si>
    <t>ORD00049</t>
  </si>
  <si>
    <t>CUST707</t>
  </si>
  <si>
    <t>ORD00050</t>
  </si>
  <si>
    <t>CUST783</t>
  </si>
  <si>
    <t>ORD00051</t>
  </si>
  <si>
    <t>CUST979</t>
  </si>
  <si>
    <t>ORD00052</t>
  </si>
  <si>
    <t>CUST536</t>
  </si>
  <si>
    <t>ORD00053</t>
  </si>
  <si>
    <t>CUST702</t>
  </si>
  <si>
    <t>ORD00054</t>
  </si>
  <si>
    <t>ORD00055</t>
  </si>
  <si>
    <t>CUST785</t>
  </si>
  <si>
    <t>ORD00056</t>
  </si>
  <si>
    <t>CUST363</t>
  </si>
  <si>
    <t>ORD00057</t>
  </si>
  <si>
    <t>CUST209</t>
  </si>
  <si>
    <t>ORD00058</t>
  </si>
  <si>
    <t>CUST513</t>
  </si>
  <si>
    <t>ORD00059</t>
  </si>
  <si>
    <t>CUST710</t>
  </si>
  <si>
    <t>ORD00060</t>
  </si>
  <si>
    <t>CUST992</t>
  </si>
  <si>
    <t>ORD00061</t>
  </si>
  <si>
    <t>ORD00062</t>
  </si>
  <si>
    <t>CUST954</t>
  </si>
  <si>
    <t>ORD00063</t>
  </si>
  <si>
    <t>CUST847</t>
  </si>
  <si>
    <t>ORD00064</t>
  </si>
  <si>
    <t>CUST793</t>
  </si>
  <si>
    <t>ORD00065</t>
  </si>
  <si>
    <t>CUST806</t>
  </si>
  <si>
    <t>ORD00066</t>
  </si>
  <si>
    <t>CUST862</t>
  </si>
  <si>
    <t>ORD00067</t>
  </si>
  <si>
    <t>CUST694</t>
  </si>
  <si>
    <t>ORD00068</t>
  </si>
  <si>
    <t>ORD00069</t>
  </si>
  <si>
    <t>CUST198</t>
  </si>
  <si>
    <t>ORD00070</t>
  </si>
  <si>
    <t>CUST116</t>
  </si>
  <si>
    <t>ORD00071</t>
  </si>
  <si>
    <t>CUST752</t>
  </si>
  <si>
    <t>ORD00072</t>
  </si>
  <si>
    <t>CUST451</t>
  </si>
  <si>
    <t>ORD00073</t>
  </si>
  <si>
    <t>CUST692</t>
  </si>
  <si>
    <t>ORD00074</t>
  </si>
  <si>
    <t>CUST504</t>
  </si>
  <si>
    <t>ORD00075</t>
  </si>
  <si>
    <t>CUST836</t>
  </si>
  <si>
    <t>ORD00076</t>
  </si>
  <si>
    <t>CUST140</t>
  </si>
  <si>
    <t>ORD00077</t>
  </si>
  <si>
    <t>CUST977</t>
  </si>
  <si>
    <t>ORD00078</t>
  </si>
  <si>
    <t>CUST667</t>
  </si>
  <si>
    <t>ORD00079</t>
  </si>
  <si>
    <t>CUST398</t>
  </si>
  <si>
    <t>ORD00080</t>
  </si>
  <si>
    <t>CUST626</t>
  </si>
  <si>
    <t>ORD00081</t>
  </si>
  <si>
    <t>CUST911</t>
  </si>
  <si>
    <t>ORD00082</t>
  </si>
  <si>
    <t>CUST598</t>
  </si>
  <si>
    <t>ORD00083</t>
  </si>
  <si>
    <t>CUST900</t>
  </si>
  <si>
    <t>ORD00084</t>
  </si>
  <si>
    <t>CUST964</t>
  </si>
  <si>
    <t>ORD00085</t>
  </si>
  <si>
    <t>CUST262</t>
  </si>
  <si>
    <t>ORD00086</t>
  </si>
  <si>
    <t>CUST385</t>
  </si>
  <si>
    <t>ORD00087</t>
  </si>
  <si>
    <t>CUST319</t>
  </si>
  <si>
    <t>ORD00088</t>
  </si>
  <si>
    <t>ORD00089</t>
  </si>
  <si>
    <t>CUST578</t>
  </si>
  <si>
    <t>ORD00090</t>
  </si>
  <si>
    <t>CUST175</t>
  </si>
  <si>
    <t>ORD00091</t>
  </si>
  <si>
    <t>CUST230</t>
  </si>
  <si>
    <t>ORD00092</t>
  </si>
  <si>
    <t>CUST283</t>
  </si>
  <si>
    <t>ORD00093</t>
  </si>
  <si>
    <t>CUST192</t>
  </si>
  <si>
    <t>ORD00094</t>
  </si>
  <si>
    <t>CUST897</t>
  </si>
  <si>
    <t>ORD00095</t>
  </si>
  <si>
    <t>CUST917</t>
  </si>
  <si>
    <t>ORD00096</t>
  </si>
  <si>
    <t>CUST664</t>
  </si>
  <si>
    <t>ORD00097</t>
  </si>
  <si>
    <t>CUST588</t>
  </si>
  <si>
    <t>ORD00098</t>
  </si>
  <si>
    <t>CUST271</t>
  </si>
  <si>
    <t>ORD00099</t>
  </si>
  <si>
    <t>CUST462</t>
  </si>
  <si>
    <t>ORD00100</t>
  </si>
  <si>
    <t>CUST642</t>
  </si>
  <si>
    <t>ORD00101</t>
  </si>
  <si>
    <t>CUST336</t>
  </si>
  <si>
    <t>ORD00102</t>
  </si>
  <si>
    <t>CUST264</t>
  </si>
  <si>
    <t>ORD00103</t>
  </si>
  <si>
    <t>CUST300</t>
  </si>
  <si>
    <t>ORD00104</t>
  </si>
  <si>
    <t>CUST384</t>
  </si>
  <si>
    <t>ORD00105</t>
  </si>
  <si>
    <t>CUST923</t>
  </si>
  <si>
    <t>ORD00106</t>
  </si>
  <si>
    <t>CUST424</t>
  </si>
  <si>
    <t>ORD00107</t>
  </si>
  <si>
    <t>CUST686</t>
  </si>
  <si>
    <t>ORD00108</t>
  </si>
  <si>
    <t>CUST753</t>
  </si>
  <si>
    <t>ORD00109</t>
  </si>
  <si>
    <t>ORD00110</t>
  </si>
  <si>
    <t>CUST294</t>
  </si>
  <si>
    <t>ORD00111</t>
  </si>
  <si>
    <t>CUST362</t>
  </si>
  <si>
    <t>ORD00112</t>
  </si>
  <si>
    <t>CUST742</t>
  </si>
  <si>
    <t>ORD00113</t>
  </si>
  <si>
    <t>CUST658</t>
  </si>
  <si>
    <t>ORD00114</t>
  </si>
  <si>
    <t>CUST733</t>
  </si>
  <si>
    <t>ORD00115</t>
  </si>
  <si>
    <t>CUST714</t>
  </si>
  <si>
    <t>ORD00116</t>
  </si>
  <si>
    <t>CUST894</t>
  </si>
  <si>
    <t>ORD00117</t>
  </si>
  <si>
    <t>CUST908</t>
  </si>
  <si>
    <t>ORD00118</t>
  </si>
  <si>
    <t>CUST685</t>
  </si>
  <si>
    <t>ORD00119</t>
  </si>
  <si>
    <t>CUST431</t>
  </si>
  <si>
    <t>ORD00120</t>
  </si>
  <si>
    <t>CUST473</t>
  </si>
  <si>
    <t>ORD00121</t>
  </si>
  <si>
    <t>CUST375</t>
  </si>
  <si>
    <t>ORD00122</t>
  </si>
  <si>
    <t>CUST743</t>
  </si>
  <si>
    <t>ORD00123</t>
  </si>
  <si>
    <t>CUST612</t>
  </si>
  <si>
    <t>ORD00124</t>
  </si>
  <si>
    <t>CUST902</t>
  </si>
  <si>
    <t>ORD00125</t>
  </si>
  <si>
    <t>CUST415</t>
  </si>
  <si>
    <t>ORD00126</t>
  </si>
  <si>
    <t>CUST777</t>
  </si>
  <si>
    <t>ORD00127</t>
  </si>
  <si>
    <t>ORD00128</t>
  </si>
  <si>
    <t>CUST988</t>
  </si>
  <si>
    <t>ORD00129</t>
  </si>
  <si>
    <t>ORD00130</t>
  </si>
  <si>
    <t>CUST138</t>
  </si>
  <si>
    <t>ORD00131</t>
  </si>
  <si>
    <t>CUST353</t>
  </si>
  <si>
    <t>ORD00132</t>
  </si>
  <si>
    <t>CUST984</t>
  </si>
  <si>
    <t>ORD00133</t>
  </si>
  <si>
    <t>CUST890</t>
  </si>
  <si>
    <t>ORD00134</t>
  </si>
  <si>
    <t>CUST997</t>
  </si>
  <si>
    <t>ORD00135</t>
  </si>
  <si>
    <t>CUST637</t>
  </si>
  <si>
    <t>ORD00136</t>
  </si>
  <si>
    <t>CUST113</t>
  </si>
  <si>
    <t>ORD00137</t>
  </si>
  <si>
    <t>CUST100</t>
  </si>
  <si>
    <t>ORD00138</t>
  </si>
  <si>
    <t>CUST482</t>
  </si>
  <si>
    <t>ORD00139</t>
  </si>
  <si>
    <t>CUST841</t>
  </si>
  <si>
    <t>ORD00140</t>
  </si>
  <si>
    <t>CUST259</t>
  </si>
  <si>
    <t>ORD00141</t>
  </si>
  <si>
    <t>CUST151</t>
  </si>
  <si>
    <t>ORD00142</t>
  </si>
  <si>
    <t>CUST851</t>
  </si>
  <si>
    <t>ORD00143</t>
  </si>
  <si>
    <t>CUST224</t>
  </si>
  <si>
    <t>ORD00144</t>
  </si>
  <si>
    <t>ORD00145</t>
  </si>
  <si>
    <t>CUST428</t>
  </si>
  <si>
    <t>ORD00146</t>
  </si>
  <si>
    <t>CUST973</t>
  </si>
  <si>
    <t>ORD00147</t>
  </si>
  <si>
    <t>CUST727</t>
  </si>
  <si>
    <t>ORD00148</t>
  </si>
  <si>
    <t>CUST800</t>
  </si>
  <si>
    <t>ORD00149</t>
  </si>
  <si>
    <t>CUST114</t>
  </si>
  <si>
    <t>ORD00150</t>
  </si>
  <si>
    <t>CUST501</t>
  </si>
  <si>
    <t>ORD00151</t>
  </si>
  <si>
    <t>CUST158</t>
  </si>
  <si>
    <t>ORD00152</t>
  </si>
  <si>
    <t>ORD00153</t>
  </si>
  <si>
    <t>ORD00154</t>
  </si>
  <si>
    <t>CUST438</t>
  </si>
  <si>
    <t>ORD00155</t>
  </si>
  <si>
    <t>CUST301</t>
  </si>
  <si>
    <t>ORD00156</t>
  </si>
  <si>
    <t>CUST422</t>
  </si>
  <si>
    <t>ORD00157</t>
  </si>
  <si>
    <t>CUST948</t>
  </si>
  <si>
    <t>ORD00158</t>
  </si>
  <si>
    <t>CUST871</t>
  </si>
  <si>
    <t>ORD00159</t>
  </si>
  <si>
    <t>CUST955</t>
  </si>
  <si>
    <t>ORD00160</t>
  </si>
  <si>
    <t>CUST861</t>
  </si>
  <si>
    <t>ORD00161</t>
  </si>
  <si>
    <t>CUST213</t>
  </si>
  <si>
    <t>ORD00162</t>
  </si>
  <si>
    <t>CUST282</t>
  </si>
  <si>
    <t>ORD00163</t>
  </si>
  <si>
    <t>CUST154</t>
  </si>
  <si>
    <t>ORD00164</t>
  </si>
  <si>
    <t>CUST233</t>
  </si>
  <si>
    <t>ORD00165</t>
  </si>
  <si>
    <t>CUST289</t>
  </si>
  <si>
    <t>ORD00166</t>
  </si>
  <si>
    <t>CUST514</t>
  </si>
  <si>
    <t>ORD00167</t>
  </si>
  <si>
    <t>CUST640</t>
  </si>
  <si>
    <t>ORD00168</t>
  </si>
  <si>
    <t>ORD00169</t>
  </si>
  <si>
    <t>CUST149</t>
  </si>
  <si>
    <t>ORD00170</t>
  </si>
  <si>
    <t>CUST427</t>
  </si>
  <si>
    <t>ORD00171</t>
  </si>
  <si>
    <t>ORD00172</t>
  </si>
  <si>
    <t>CUST324</t>
  </si>
  <si>
    <t>ORD00173</t>
  </si>
  <si>
    <t>CUST379</t>
  </si>
  <si>
    <t>ORD00174</t>
  </si>
  <si>
    <t>CUST684</t>
  </si>
  <si>
    <t>ORD00175</t>
  </si>
  <si>
    <t>ORD00176</t>
  </si>
  <si>
    <t>CUST942</t>
  </si>
  <si>
    <t>ORD00177</t>
  </si>
  <si>
    <t>ORD00178</t>
  </si>
  <si>
    <t>CUST600</t>
  </si>
  <si>
    <t>ORD00179</t>
  </si>
  <si>
    <t>CUST181</t>
  </si>
  <si>
    <t>ORD00180</t>
  </si>
  <si>
    <t>CUST227</t>
  </si>
  <si>
    <t>ORD00181</t>
  </si>
  <si>
    <t>CUST657</t>
  </si>
  <si>
    <t>ORD00182</t>
  </si>
  <si>
    <t>ORD00183</t>
  </si>
  <si>
    <t>CUST675</t>
  </si>
  <si>
    <t>ORD00184</t>
  </si>
  <si>
    <t>ORD00185</t>
  </si>
  <si>
    <t>CUST932</t>
  </si>
  <si>
    <t>ORD00186</t>
  </si>
  <si>
    <t>CUST886</t>
  </si>
  <si>
    <t>ORD00187</t>
  </si>
  <si>
    <t>CUST705</t>
  </si>
  <si>
    <t>ORD00188</t>
  </si>
  <si>
    <t>ORD00189</t>
  </si>
  <si>
    <t>CUST537</t>
  </si>
  <si>
    <t>ORD00190</t>
  </si>
  <si>
    <t>CUST663</t>
  </si>
  <si>
    <t>ORD00191</t>
  </si>
  <si>
    <t>CUST179</t>
  </si>
  <si>
    <t>ORD00192</t>
  </si>
  <si>
    <t>CUST515</t>
  </si>
  <si>
    <t>ORD00193</t>
  </si>
  <si>
    <t>ORD00194</t>
  </si>
  <si>
    <t>ORD00195</t>
  </si>
  <si>
    <t>CUST798</t>
  </si>
  <si>
    <t>ORD00196</t>
  </si>
  <si>
    <t>ORD00197</t>
  </si>
  <si>
    <t>CUST535</t>
  </si>
  <si>
    <t>ORD00198</t>
  </si>
  <si>
    <t>ORD00199</t>
  </si>
  <si>
    <t>CUST782</t>
  </si>
  <si>
    <t>ORD00200</t>
  </si>
  <si>
    <t>Row Labels</t>
  </si>
  <si>
    <t>Grand Total</t>
  </si>
  <si>
    <t>Apr</t>
  </si>
  <si>
    <t>May</t>
  </si>
  <si>
    <t>Jun</t>
  </si>
  <si>
    <t>Jul</t>
  </si>
  <si>
    <t>Aug</t>
  </si>
  <si>
    <t>Sep</t>
  </si>
  <si>
    <t>Oct</t>
  </si>
  <si>
    <t>Sum of SalesAmount</t>
  </si>
  <si>
    <t>Average of SalesAmount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</si>
</sst>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_ * #,##0_ ;_ * \-#,##0_ ;_ * &quot;-&quot;??_ ;_ @_ "/>
  </numFmts>
  <fonts count="3" x14ac:knownFonts="1">
    <font>
      <sz val="11"/>
      <color theme="1"/>
      <name val="Calibri"/>
      <family val="2"/>
      <scheme val="minor"/>
    </font>
    <font>
      <b/>
      <sz val="11"/>
      <color rgb="FFFFFFFF"/>
      <name val="Calibri"/>
    </font>
    <font>
      <b/>
      <sz val="11"/>
      <color theme="1"/>
      <name val="Calibri"/>
      <family val="2"/>
      <scheme val="minor"/>
    </font>
  </fonts>
  <fills count="4">
    <fill>
      <patternFill patternType="none"/>
    </fill>
    <fill>
      <patternFill patternType="gray125"/>
    </fill>
    <fill>
      <patternFill patternType="solid">
        <fgColor rgb="FF7030A0"/>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1" fillId="2" borderId="0" xfId="0" applyFont="1" applyFill="1"/>
    <xf numFmtId="164" fontId="0" fillId="0" borderId="0" xfId="0" applyNumberFormat="1"/>
    <xf numFmtId="164" fontId="1" fillId="2" borderId="0" xfId="0" applyNumberFormat="1" applyFont="1" applyFill="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0" fontId="2" fillId="3" borderId="1" xfId="0" applyFont="1" applyFill="1" applyBorder="1"/>
  </cellXfs>
  <cellStyles count="1">
    <cellStyle name="Normal" xfId="0" builtinId="0"/>
  </cellStyles>
  <dxfs count="42">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
      <numFmt numFmtId="165" formatCode="_ * #,##0_ ;_ * \-#,##0_ ;_ * &quot;-&quot;??_ ;_ @_ "/>
    </dxf>
    <dxf>
      <numFmt numFmtId="165" formatCode="_ * #,##0_ ;_ * \-#,##0_ ;_ * &quot;-&quot;??_ ;_ @_ "/>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0.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[Realistic_Retail_Sales_200_Rows.xlsx]Kpi Creation!Brand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07911485361794"/>
          <c:y val="7.407407407407407E-2"/>
          <c:w val="0.74790309112532272"/>
          <c:h val="0.8416746864975212"/>
        </c:manualLayout>
      </c:layout>
      <c:barChart>
        <c:barDir val="bar"/>
        <c:grouping val="clustered"/>
        <c:varyColors val="0"/>
        <c:ser>
          <c:idx val="0"/>
          <c:order val="0"/>
          <c:tx>
            <c:strRef>
              <c:f>'Kpi Creation'!$J$3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Creation'!$I$4:$I$12</c:f>
              <c:strCache>
                <c:ptCount val="8"/>
                <c:pt idx="0">
                  <c:v>Apple</c:v>
                </c:pt>
                <c:pt idx="1">
                  <c:v>Boat</c:v>
                </c:pt>
                <c:pt idx="2">
                  <c:v>Dell</c:v>
                </c:pt>
                <c:pt idx="3">
                  <c:v>HP</c:v>
                </c:pt>
                <c:pt idx="4">
                  <c:v>Lenovo</c:v>
                </c:pt>
                <c:pt idx="5">
                  <c:v>Nike</c:v>
                </c:pt>
                <c:pt idx="6">
                  <c:v>Samsung</c:v>
                </c:pt>
                <c:pt idx="7">
                  <c:v>Sony</c:v>
                </c:pt>
              </c:strCache>
            </c:strRef>
          </c:cat>
          <c:val>
            <c:numRef>
              <c:f>'Kpi Creation'!$J$4:$J$12</c:f>
              <c:numCache>
                <c:formatCode>0.00%</c:formatCode>
                <c:ptCount val="8"/>
                <c:pt idx="0">
                  <c:v>0.12556744935640196</c:v>
                </c:pt>
                <c:pt idx="1">
                  <c:v>0.17000165867938366</c:v>
                </c:pt>
                <c:pt idx="2">
                  <c:v>0.11978524595190283</c:v>
                </c:pt>
                <c:pt idx="3">
                  <c:v>0.1387242079156461</c:v>
                </c:pt>
                <c:pt idx="4">
                  <c:v>9.6049071804114719E-2</c:v>
                </c:pt>
                <c:pt idx="5">
                  <c:v>0.15044387541453011</c:v>
                </c:pt>
                <c:pt idx="6">
                  <c:v>0.12911812160923863</c:v>
                </c:pt>
                <c:pt idx="7">
                  <c:v>7.0310369268782022E-2</c:v>
                </c:pt>
              </c:numCache>
            </c:numRef>
          </c:val>
          <c:extLst>
            <c:ext xmlns:c16="http://schemas.microsoft.com/office/drawing/2014/chart" uri="{C3380CC4-5D6E-409C-BE32-E72D297353CC}">
              <c16:uniqueId val="{00000000-2057-4C6A-A05E-4EF012C4CFB0}"/>
            </c:ext>
          </c:extLst>
        </c:ser>
        <c:dLbls>
          <c:dLblPos val="outEnd"/>
          <c:showLegendKey val="0"/>
          <c:showVal val="1"/>
          <c:showCatName val="0"/>
          <c:showSerName val="0"/>
          <c:showPercent val="0"/>
          <c:showBubbleSize val="0"/>
        </c:dLbls>
        <c:gapWidth val="182"/>
        <c:axId val="1926073791"/>
        <c:axId val="1926057471"/>
      </c:barChart>
      <c:catAx>
        <c:axId val="192607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057471"/>
        <c:crosses val="autoZero"/>
        <c:auto val="1"/>
        <c:lblAlgn val="ctr"/>
        <c:lblOffset val="100"/>
        <c:noMultiLvlLbl val="0"/>
      </c:catAx>
      <c:valAx>
        <c:axId val="192605747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07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[Realistic_Retail_Sales_200_Rows.xlsx]Kpi Creation!Payment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Creation'!$N$3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Creation'!$M$4:$M$9</c:f>
              <c:strCache>
                <c:ptCount val="5"/>
                <c:pt idx="0">
                  <c:v>Cash</c:v>
                </c:pt>
                <c:pt idx="1">
                  <c:v>Credit Card</c:v>
                </c:pt>
                <c:pt idx="2">
                  <c:v>Debit Card</c:v>
                </c:pt>
                <c:pt idx="3">
                  <c:v>Net Banking</c:v>
                </c:pt>
                <c:pt idx="4">
                  <c:v>UPI</c:v>
                </c:pt>
              </c:strCache>
            </c:strRef>
          </c:cat>
          <c:val>
            <c:numRef>
              <c:f>'Kpi Creation'!$N$4:$N$9</c:f>
              <c:numCache>
                <c:formatCode>0.00%</c:formatCode>
                <c:ptCount val="5"/>
                <c:pt idx="0">
                  <c:v>0.21061030679292189</c:v>
                </c:pt>
                <c:pt idx="1">
                  <c:v>0.17632998163152752</c:v>
                </c:pt>
                <c:pt idx="2">
                  <c:v>0.23213111499433028</c:v>
                </c:pt>
                <c:pt idx="3">
                  <c:v>0.22075172722200942</c:v>
                </c:pt>
                <c:pt idx="4">
                  <c:v>0.16017686935921088</c:v>
                </c:pt>
              </c:numCache>
            </c:numRef>
          </c:val>
          <c:extLst>
            <c:ext xmlns:c16="http://schemas.microsoft.com/office/drawing/2014/chart" uri="{C3380CC4-5D6E-409C-BE32-E72D297353CC}">
              <c16:uniqueId val="{00000000-2844-4965-A511-F42168D30B3C}"/>
            </c:ext>
          </c:extLst>
        </c:ser>
        <c:dLbls>
          <c:dLblPos val="outEnd"/>
          <c:showLegendKey val="0"/>
          <c:showVal val="1"/>
          <c:showCatName val="0"/>
          <c:showSerName val="0"/>
          <c:showPercent val="0"/>
          <c:showBubbleSize val="0"/>
        </c:dLbls>
        <c:gapWidth val="219"/>
        <c:overlap val="-27"/>
        <c:axId val="1926053151"/>
        <c:axId val="1926053631"/>
      </c:barChart>
      <c:catAx>
        <c:axId val="192605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053631"/>
        <c:crosses val="autoZero"/>
        <c:auto val="1"/>
        <c:lblAlgn val="ctr"/>
        <c:lblOffset val="100"/>
        <c:noMultiLvlLbl val="0"/>
      </c:catAx>
      <c:valAx>
        <c:axId val="19260536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05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[Realistic_Retail_Sales_200_Rows.xlsx]Kpi Creation!OrderStatus</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 Creation'!$U$3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Creation'!$T$4:$T$8</c:f>
              <c:strCache>
                <c:ptCount val="4"/>
                <c:pt idx="0">
                  <c:v>Cancelled</c:v>
                </c:pt>
                <c:pt idx="1">
                  <c:v>Delivered</c:v>
                </c:pt>
                <c:pt idx="2">
                  <c:v>Processing</c:v>
                </c:pt>
                <c:pt idx="3">
                  <c:v>Shipped</c:v>
                </c:pt>
              </c:strCache>
            </c:strRef>
          </c:cat>
          <c:val>
            <c:numRef>
              <c:f>'Kpi Creation'!$U$4:$U$8</c:f>
              <c:numCache>
                <c:formatCode>0.00%</c:formatCode>
                <c:ptCount val="4"/>
                <c:pt idx="0">
                  <c:v>0.13172779499050433</c:v>
                </c:pt>
                <c:pt idx="1">
                  <c:v>0.51870109204568771</c:v>
                </c:pt>
                <c:pt idx="2">
                  <c:v>0.15849386888536776</c:v>
                </c:pt>
                <c:pt idx="3">
                  <c:v>0.19107724407844032</c:v>
                </c:pt>
              </c:numCache>
            </c:numRef>
          </c:val>
          <c:extLst>
            <c:ext xmlns:c16="http://schemas.microsoft.com/office/drawing/2014/chart" uri="{C3380CC4-5D6E-409C-BE32-E72D297353CC}">
              <c16:uniqueId val="{00000000-0983-4890-B214-AC24273E063F}"/>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[Realistic_Retail_Sales_200_Rows.xlsx]Kpi Creation!Month</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Creation'!$B$3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'Kpi Creation'!$A$4:$A$11</c:f>
              <c:strCache>
                <c:ptCount val="7"/>
                <c:pt idx="0">
                  <c:v>Apr</c:v>
                </c:pt>
                <c:pt idx="1">
                  <c:v>May</c:v>
                </c:pt>
                <c:pt idx="2">
                  <c:v>Jun</c:v>
                </c:pt>
                <c:pt idx="3">
                  <c:v>Jul</c:v>
                </c:pt>
                <c:pt idx="4">
                  <c:v>Aug</c:v>
                </c:pt>
                <c:pt idx="5">
                  <c:v>Sep</c:v>
                </c:pt>
                <c:pt idx="6">
                  <c:v>Oct</c:v>
                </c:pt>
              </c:strCache>
            </c:strRef>
          </c:cat>
          <c:val>
            <c:numRef>
              <c:f>'Kpi Creation'!$B$4:$B$11</c:f>
              <c:numCache>
                <c:formatCode>0.00%</c:formatCode>
                <c:ptCount val="7"/>
                <c:pt idx="0">
                  <c:v>6.420036998691947E-2</c:v>
                </c:pt>
                <c:pt idx="1">
                  <c:v>0.15428719392236331</c:v>
                </c:pt>
                <c:pt idx="2">
                  <c:v>0.1262249119642202</c:v>
                </c:pt>
                <c:pt idx="3">
                  <c:v>0.17552289100979768</c:v>
                </c:pt>
                <c:pt idx="4">
                  <c:v>0.18096111034113646</c:v>
                </c:pt>
                <c:pt idx="5">
                  <c:v>0.15358188518072236</c:v>
                </c:pt>
                <c:pt idx="6">
                  <c:v>0.14522163759484058</c:v>
                </c:pt>
              </c:numCache>
            </c:numRef>
          </c:val>
          <c:smooth val="0"/>
          <c:extLst>
            <c:ext xmlns:c16="http://schemas.microsoft.com/office/drawing/2014/chart" uri="{C3380CC4-5D6E-409C-BE32-E72D297353CC}">
              <c16:uniqueId val="{00000000-68B4-4457-B25D-C7327ACD7866}"/>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2100651391"/>
        <c:axId val="2100635071"/>
      </c:lineChart>
      <c:catAx>
        <c:axId val="210065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635071"/>
        <c:crosses val="autoZero"/>
        <c:auto val="1"/>
        <c:lblAlgn val="ctr"/>
        <c:lblOffset val="100"/>
        <c:noMultiLvlLbl val="0"/>
      </c:catAx>
      <c:valAx>
        <c:axId val="210063507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65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[Realistic_Retail_Sales_200_Rows.xlsx]Kpi Creation!Brand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5576096574976"/>
          <c:y val="5.1376636742074683E-2"/>
          <c:w val="0.74790309112532272"/>
          <c:h val="0.8416746864975212"/>
        </c:manualLayout>
      </c:layout>
      <c:barChart>
        <c:barDir val="bar"/>
        <c:grouping val="clustered"/>
        <c:varyColors val="0"/>
        <c:ser>
          <c:idx val="0"/>
          <c:order val="0"/>
          <c:tx>
            <c:strRef>
              <c:f>'Kpi Creation'!$J$3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Creation'!$I$4:$I$12</c:f>
              <c:strCache>
                <c:ptCount val="8"/>
                <c:pt idx="0">
                  <c:v>Apple</c:v>
                </c:pt>
                <c:pt idx="1">
                  <c:v>Boat</c:v>
                </c:pt>
                <c:pt idx="2">
                  <c:v>Dell</c:v>
                </c:pt>
                <c:pt idx="3">
                  <c:v>HP</c:v>
                </c:pt>
                <c:pt idx="4">
                  <c:v>Lenovo</c:v>
                </c:pt>
                <c:pt idx="5">
                  <c:v>Nike</c:v>
                </c:pt>
                <c:pt idx="6">
                  <c:v>Samsung</c:v>
                </c:pt>
                <c:pt idx="7">
                  <c:v>Sony</c:v>
                </c:pt>
              </c:strCache>
            </c:strRef>
          </c:cat>
          <c:val>
            <c:numRef>
              <c:f>'Kpi Creation'!$J$4:$J$12</c:f>
              <c:numCache>
                <c:formatCode>0.00%</c:formatCode>
                <c:ptCount val="8"/>
                <c:pt idx="0">
                  <c:v>0.12556744935640196</c:v>
                </c:pt>
                <c:pt idx="1">
                  <c:v>0.17000165867938366</c:v>
                </c:pt>
                <c:pt idx="2">
                  <c:v>0.11978524595190283</c:v>
                </c:pt>
                <c:pt idx="3">
                  <c:v>0.1387242079156461</c:v>
                </c:pt>
                <c:pt idx="4">
                  <c:v>9.6049071804114719E-2</c:v>
                </c:pt>
                <c:pt idx="5">
                  <c:v>0.15044387541453011</c:v>
                </c:pt>
                <c:pt idx="6">
                  <c:v>0.12911812160923863</c:v>
                </c:pt>
                <c:pt idx="7">
                  <c:v>7.0310369268782022E-2</c:v>
                </c:pt>
              </c:numCache>
            </c:numRef>
          </c:val>
          <c:extLst>
            <c:ext xmlns:c16="http://schemas.microsoft.com/office/drawing/2014/chart" uri="{C3380CC4-5D6E-409C-BE32-E72D297353CC}">
              <c16:uniqueId val="{00000000-221A-47D0-8FA3-51477EF0D312}"/>
            </c:ext>
          </c:extLst>
        </c:ser>
        <c:dLbls>
          <c:dLblPos val="outEnd"/>
          <c:showLegendKey val="0"/>
          <c:showVal val="1"/>
          <c:showCatName val="0"/>
          <c:showSerName val="0"/>
          <c:showPercent val="0"/>
          <c:showBubbleSize val="0"/>
        </c:dLbls>
        <c:gapWidth val="54"/>
        <c:axId val="1926073791"/>
        <c:axId val="1926057471"/>
      </c:barChart>
      <c:catAx>
        <c:axId val="192607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926057471"/>
        <c:crosses val="autoZero"/>
        <c:auto val="1"/>
        <c:lblAlgn val="ctr"/>
        <c:lblOffset val="100"/>
        <c:noMultiLvlLbl val="0"/>
      </c:catAx>
      <c:valAx>
        <c:axId val="192605747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92607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1">
          <a:lumMod val="15000"/>
          <a:lumOff val="85000"/>
        </a:schemeClr>
      </a:solid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[Realistic_Retail_Sales_200_Rows.xlsx]Kpi Creation!Payment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Creation'!$N$3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Creation'!$M$4:$M$9</c:f>
              <c:strCache>
                <c:ptCount val="5"/>
                <c:pt idx="0">
                  <c:v>Cash</c:v>
                </c:pt>
                <c:pt idx="1">
                  <c:v>Credit Card</c:v>
                </c:pt>
                <c:pt idx="2">
                  <c:v>Debit Card</c:v>
                </c:pt>
                <c:pt idx="3">
                  <c:v>Net Banking</c:v>
                </c:pt>
                <c:pt idx="4">
                  <c:v>UPI</c:v>
                </c:pt>
              </c:strCache>
            </c:strRef>
          </c:cat>
          <c:val>
            <c:numRef>
              <c:f>'Kpi Creation'!$N$4:$N$9</c:f>
              <c:numCache>
                <c:formatCode>0.00%</c:formatCode>
                <c:ptCount val="5"/>
                <c:pt idx="0">
                  <c:v>0.21061030679292189</c:v>
                </c:pt>
                <c:pt idx="1">
                  <c:v>0.17632998163152752</c:v>
                </c:pt>
                <c:pt idx="2">
                  <c:v>0.23213111499433028</c:v>
                </c:pt>
                <c:pt idx="3">
                  <c:v>0.22075172722200942</c:v>
                </c:pt>
                <c:pt idx="4">
                  <c:v>0.16017686935921088</c:v>
                </c:pt>
              </c:numCache>
            </c:numRef>
          </c:val>
          <c:extLst>
            <c:ext xmlns:c16="http://schemas.microsoft.com/office/drawing/2014/chart" uri="{C3380CC4-5D6E-409C-BE32-E72D297353CC}">
              <c16:uniqueId val="{00000000-C3B0-4706-A940-7AE4BD60DA52}"/>
            </c:ext>
          </c:extLst>
        </c:ser>
        <c:dLbls>
          <c:dLblPos val="outEnd"/>
          <c:showLegendKey val="0"/>
          <c:showVal val="1"/>
          <c:showCatName val="0"/>
          <c:showSerName val="0"/>
          <c:showPercent val="0"/>
          <c:showBubbleSize val="0"/>
        </c:dLbls>
        <c:gapWidth val="219"/>
        <c:overlap val="-27"/>
        <c:axId val="1926053151"/>
        <c:axId val="1926053631"/>
      </c:barChart>
      <c:catAx>
        <c:axId val="192605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6053631"/>
        <c:crosses val="autoZero"/>
        <c:auto val="1"/>
        <c:lblAlgn val="ctr"/>
        <c:lblOffset val="100"/>
        <c:noMultiLvlLbl val="0"/>
      </c:catAx>
      <c:valAx>
        <c:axId val="19260536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605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[Realistic_Retail_Sales_200_Rows.xlsx]Kpi Creation!OrderStatus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'Kpi Creation'!$U$3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71-49C7-9FFB-42AD61C224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71-49C7-9FFB-42AD61C224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71-49C7-9FFB-42AD61C224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71-49C7-9FFB-42AD61C224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Creation'!$T$4:$T$8</c:f>
              <c:strCache>
                <c:ptCount val="4"/>
                <c:pt idx="0">
                  <c:v>Cancelled</c:v>
                </c:pt>
                <c:pt idx="1">
                  <c:v>Delivered</c:v>
                </c:pt>
                <c:pt idx="2">
                  <c:v>Processing</c:v>
                </c:pt>
                <c:pt idx="3">
                  <c:v>Shipped</c:v>
                </c:pt>
              </c:strCache>
            </c:strRef>
          </c:cat>
          <c:val>
            <c:numRef>
              <c:f>'Kpi Creation'!$U$4:$U$8</c:f>
              <c:numCache>
                <c:formatCode>0.00%</c:formatCode>
                <c:ptCount val="4"/>
                <c:pt idx="0">
                  <c:v>0.13172779499050433</c:v>
                </c:pt>
                <c:pt idx="1">
                  <c:v>0.51870109204568771</c:v>
                </c:pt>
                <c:pt idx="2">
                  <c:v>0.15849386888536776</c:v>
                </c:pt>
                <c:pt idx="3">
                  <c:v>0.19107724407844032</c:v>
                </c:pt>
              </c:numCache>
            </c:numRef>
          </c:val>
          <c:extLst>
            <c:ext xmlns:c16="http://schemas.microsoft.com/office/drawing/2014/chart" uri="{C3380CC4-5D6E-409C-BE32-E72D297353CC}">
              <c16:uniqueId val="{00000008-4A71-49C7-9FFB-42AD61C2248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noFill/>
      <a:round/>
    </a:ln>
    <a:effectLst>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[Realistic_Retail_Sales_200_Rows.xlsx]Kpi Creation!Month</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3155421853242"/>
          <c:y val="7.2883698434359226E-2"/>
          <c:w val="0.87284640359261456"/>
          <c:h val="0.81494443876333644"/>
        </c:manualLayout>
      </c:layout>
      <c:lineChart>
        <c:grouping val="standard"/>
        <c:varyColors val="0"/>
        <c:ser>
          <c:idx val="0"/>
          <c:order val="0"/>
          <c:tx>
            <c:strRef>
              <c:f>'Kpi Creation'!$B$3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Creation'!$A$4:$A$11</c:f>
              <c:strCache>
                <c:ptCount val="7"/>
                <c:pt idx="0">
                  <c:v>Apr</c:v>
                </c:pt>
                <c:pt idx="1">
                  <c:v>May</c:v>
                </c:pt>
                <c:pt idx="2">
                  <c:v>Jun</c:v>
                </c:pt>
                <c:pt idx="3">
                  <c:v>Jul</c:v>
                </c:pt>
                <c:pt idx="4">
                  <c:v>Aug</c:v>
                </c:pt>
                <c:pt idx="5">
                  <c:v>Sep</c:v>
                </c:pt>
                <c:pt idx="6">
                  <c:v>Oct</c:v>
                </c:pt>
              </c:strCache>
            </c:strRef>
          </c:cat>
          <c:val>
            <c:numRef>
              <c:f>'Kpi Creation'!$B$4:$B$11</c:f>
              <c:numCache>
                <c:formatCode>0.00%</c:formatCode>
                <c:ptCount val="7"/>
                <c:pt idx="0">
                  <c:v>6.420036998691947E-2</c:v>
                </c:pt>
                <c:pt idx="1">
                  <c:v>0.15428719392236331</c:v>
                </c:pt>
                <c:pt idx="2">
                  <c:v>0.1262249119642202</c:v>
                </c:pt>
                <c:pt idx="3">
                  <c:v>0.17552289100979768</c:v>
                </c:pt>
                <c:pt idx="4">
                  <c:v>0.18096111034113646</c:v>
                </c:pt>
                <c:pt idx="5">
                  <c:v>0.15358188518072236</c:v>
                </c:pt>
                <c:pt idx="6">
                  <c:v>0.14522163759484058</c:v>
                </c:pt>
              </c:numCache>
            </c:numRef>
          </c:val>
          <c:smooth val="0"/>
          <c:extLst>
            <c:ext xmlns:c16="http://schemas.microsoft.com/office/drawing/2014/chart" uri="{C3380CC4-5D6E-409C-BE32-E72D297353CC}">
              <c16:uniqueId val="{00000001-3401-422C-8828-07B778BD4D42}"/>
            </c:ext>
          </c:extLst>
        </c:ser>
        <c:dLbls>
          <c:dLblPos val="t"/>
          <c:showLegendKey val="0"/>
          <c:showVal val="1"/>
          <c:showCatName val="0"/>
          <c:showSerName val="0"/>
          <c:showPercent val="0"/>
          <c:showBubbleSize val="0"/>
        </c:dLbls>
        <c:smooth val="0"/>
        <c:axId val="2100651391"/>
        <c:axId val="2100635071"/>
      </c:lineChart>
      <c:catAx>
        <c:axId val="210065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0635071"/>
        <c:crosses val="autoZero"/>
        <c:auto val="1"/>
        <c:lblAlgn val="ctr"/>
        <c:lblOffset val="100"/>
        <c:noMultiLvlLbl val="0"/>
      </c:catAx>
      <c:valAx>
        <c:axId val="210063507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065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plotArea>
      <cx:plotAreaRegion>
        <cx:series layoutId="treemap" uniqueId="{F472D779-3ED7-442C-A4E2-FF22C2B31599}">
          <cx:tx>
            <cx:txData>
              <cx:f>_xlchart.v1.11</cx:f>
              <cx:v>Sum of SalesAmount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plotArea>
      <cx:plotAreaRegion>
        <cx:plotSurface>
          <cx:spPr>
            <a:solidFill>
              <a:schemeClr val="accent2">
                <a:lumMod val="75000"/>
              </a:schemeClr>
            </a:solidFill>
            <a:ln>
              <a:noFill/>
            </a:ln>
            <a:effectLst>
              <a:outerShdw blurRad="50800" dist="50800" dir="5400000" algn="ctr" rotWithShape="0">
                <a:srgbClr val="00B050"/>
              </a:outerShdw>
            </a:effectLst>
          </cx:spPr>
        </cx:plotSurface>
        <cx:series layoutId="regionMap" uniqueId="{8222E42B-947A-4181-B1C0-2723A0CF8301}">
          <cx:tx>
            <cx:txData>
              <cx:f>_xlchart.v5.8</cx:f>
              <cx:v>Sum of SalesAmount</cx:v>
            </cx:txData>
          </cx:tx>
          <cx:spPr>
            <a:effectLst>
              <a:outerShdw blurRad="50800" dist="50800" dir="5400000" sx="90000" sy="90000" algn="ctr" rotWithShape="0">
                <a:schemeClr val="tx2"/>
              </a:outerShdw>
            </a:effectLst>
          </cx:spPr>
          <cx:dataId val="0"/>
          <cx:layoutPr>
            <cx:geography cultureLanguage="en-US" cultureRegion="IN" attribution="Powered by Bing">
              <cx:geoCache provider="{E9337A44-BEBE-4D9F-B70C-5C5E7DAFC167}">
                <cx:binary>1HpZb904tu5fKeT5yiXOZKPrAIfao+fYzvgiOE5CUQMlSpRE6dfftV2p6iSd6q6D0xe4tRPY2NZE
cXGt9Q38+1P821P96bH/KTa1G/72FH95UYTQ/e3nn4en4lPzOJw19qlvh/ZzOHtqm5/bz5/t06ef
P/aPs3XmZ5wi+vNT8diHT/HFf/0d7mY+tZft02OwrXs5fuqXu0/DWIfhXxz74aGfHj821m3sEHr7
FNAvLzaf6sK++OmTCzYsD0v36ZcX35zy4qefv7/RPz30pxrGFcaPcC2WZ5wSolLO0+cPevFT3Trz
5bAQZwgxKiRD6vnDf3v09WMDl//b0TyP5fHjx/7TMMC7PP/+/bJvBg5/vXzx01M7unCaLQMT98uL
o/toH1/8ZIc2+/VA1p5Gfbx+fs2fv53n//r7d3+AF//uL1+F4vtZ+neH/ikS+7F87B/DbxPyH4gF
PuMKcyQo/mEs0BlTIuUQkB/G4k+M58fR+P3C7+KxP/9LxePusXwcQvHo/oMR4WdMUsY5+hIR/G12
kDNJFeSO+pId7LdH/5odf2pEP47JV5d+F5W7v1ZUrh6hKj4OReghj/9TVQupM8pwKglTP8wUfoZS
qQiG4Dx/vovLnxzTjyPzzcXfxebq8JfKmIvH3j2Gx+o/GRl6JlBKMf2DGgaR4UIhBi3n+UN+WxS/
ZsyfGtGP4/LVpd9F5eK//1JRefhUPzrz6P6TURFnMk05U0h+W8DUWZoqqGHsS6bA4V9z9Ndw/Kmh
/DgcX136XTge9n+tcDw2tv7p+vHj+Nvc/O87PUJnKeIoTeV38ZBnNBUpTpn47WFfAvGnBvEHkfjq
2u9DATjqL4S4XoUACP22f/z4aSh+m6D/fTQwP1OYMABWvzaTFH2TJDI9AwRAGJY/rll/elQ/Ds93
l38XoVe3f6kIvfk0hJ/0Jyhf9X8wPgCz2AmEAU15/nyLwqQ4UwKngtMvKOy7nvInx/Tj6Hxz8Xex
eaP/v47NjxP7awj2zRn/U+KIz04pIaj4wkbUN0kj1BnhhCLJoPGcPpBTX3eWL8Tuj0fz43B8ueyb
gf8/Zol/zCB/59UbAFHbZ0L+FYn810efXw80gu8u/VcI+de5On785QVK4R/n0Dt+5/qn+3wzwf/d
j+4RFIn6+3r57Q0+AWX65YUSZxQxrABRY2D6jEC0ZkhlOAKkkypABwwhgaQAJO3aPhSgHJwwuOJw
NsapogJDyxra8fkQP+MslUzB7QQnXODfNZHbtl5M636fnC/ff3Jjc9taF4ZfXhAE+d39et5psEKm
UHgF45QSjCUTCEbXPT3egfACp6P/403TLRYX07G31pSHcR2qGzGwMWxIPoZFxzjW5QGEnW7UouuL
oK10o9+0osDHRNJyCwSvP66FY/wKpVUc9RQt/BzIYN+ttlNeGxmXfps0vTlfW652jvU43fZzSsx1
y1hjDwldune8Tgu3aZF1vV4dMlxXphnkFsMbvB5mQ3coiDnVspu26TLjHoZCP3TrUlXb3FM+6KR1
od44bOSarbOaXyo0lvYQ235aMxzTBR98LPt936wT0cnkJnlLsJ9yTbuuabKFIXPlUkJfhjl2ua78
JKhG5dyxzCd+sJrIJv1c2LRdt95IFTaUJvTOFTmt9ypvzFtPazzupcyXJ8KTcNuVdb4ZYuPGTJbd
PGrS0+mxKId4ZJI1g246bt/RhA+HPqeyyeY2TV/GmfebucH8iFBwmjhKuZalw1wTNOcPgePlLZqN
DNqtOA8ap609QEkZy4ysfcU1XcqGbbtBkCvcoPlqjmtyQZpa7P1K7XpNbDOie9y3BOmeLt7sqOqI
ejMF54+LLwa0rVXqx2x1Bvv9ElHS1ro2oKUd/TCw9Eae5qXa+pUMalfWopAPQ7GktQ59X+qcd91b
PJBqOyzTabKKI6xvlwXXzVu4Db0givqDrGSz3KAYnckaUUzoxghpJp2IMGflXPoNyp3XdEzjXbDp
53Lxy9ZVFc7mAefHNhmnLOlyrHuP8C4fhyWblny9VkIUuiGW6WWlYWcrtDhtWGRWGz7TDVGjuJ9U
PM5dgrpMJLk6T+qx2dIyvx9Kaa5JPb3BHSmzirvLHtZHJhX7iJrm6Kb+OEfj9kmdNns2KJxFV9ot
WYO7Mpi4cw7L5q4hXXLkcaqyklCYOu/lvqEN0qrtzkfuLwuT0IxLWuk1l1cUpcOVpC3Sbmr8ZV3M
AqJKi490Guq9pK55YwNz1xOp2GGccJkZ1S46UcWo2TSYm0p2Ykvqsb0TPW2vexeHjFZs3a6gfJU6
Fmn+ytTxvgqd10uozHEZ51V7IfrzjhdEW9XmGxFJomlbfmhRSe59i6qdcWbKhMH5juc13VI3VxpR
hfSUq8yiMF75mq9e50Xqt+XCxoe66G6nrt9PMV1nPTJUZX1ZhJu8qIeMrUvoM2bJhjWlbhneT77P
zDLd0RTVOhXJvXPdp3G0t9WMgmY5qrZ1CCFz5SBuQoAsMzIZNwUc0T5W7i2glw6KEXmgE6z/pUk0
a/KPNSr2aHTqNlnX9FNfWljpbXfRcTFqNPOgU5W0uq/iZ+HCxdgUaebnBCLfkSZLmmpNdI6MXusx
aJOzfp+TOtHEBrFbl3a4LItEaDc0ddbgNmazEFbXC1vfJjDuXVnm67aoqd8TUs5Xsqhwmslkvq9Y
e89DXp7XrBGZSutph+debCWNdFuR6F72gx22SNRGd7xZr9dQjXSzNJEdCpQTXU3JNG54iUmaUerM
Zql9Muk0x8trW4ZWLySfr5Wqui2vRLVVBWNPwfefO0/IJh2lP488J7sCzWobELUZr6bmlqmFaxMG
fB5rUn1oO+d2KSsTePmZuVsaUrOpp1QeYCVAJQxJOmzZ4uWbWWHzsaum2QKo+72r/qA7cQbw8tvu
xIBaU8JOxI0KRei33alte1+URVocJR6msMnR3PAN+ALLzeAa8mpuA4Ua19pqMxO/Ntr1k3twPlm2
fVGjj6Pxqrxc2hmhbRXYekgwz1Pdn6KftRJBm5rTWXRZIXLpt3i0TaqdRMWRjY2cbyKt+1631Tq/
Hjip7haROlLrSvGJXXR2lVfrOla3hSygRPkuH3RaEhKygMPwISE44ZoV/E01LG02uWohWoiEMZ16
uLvOBZ+vVF4Nx3kWy36E+n6xmiTu6qLGeiVTPLAo1LlapllLPK6a1K2BtM/Da1Um3YbPSan7UVkY
41T3WQAcolHCyp2I0LeCbKVu6dplfFbrcpC8T9pGT2ie6r1AmFsdZTod+nRhzaWgVm5Vz41Oxyn5
JIVYzocB02NtWr9mPU2Tu6ri3Ta2gd00y0BuB1KYez8v25X01c7ajmnk1rHUU4nam0Y1LJNjIm9Y
4OyNSzqymYj0Wah9tyuCG7RJl7Dt0iLsiJH3BZMuG9h7Vy4XkwqPbUD7sehKjYeUXnflh2nq71SC
5GWLCpSxZO03siyHuyKtVFa0MHGANzI3ph7qykyTg0tH+4g8w9umplGPYjoPibvD82ivi7wptEoJ
v51scRA0Z0doK1WWBl6/7kXX5npgxB9XMfJaL90wbTuTJ1o1vXtbLnHYpLj7EOeCZX1PlWarcgcE
a/PGC4/urWFPoqXxri0g88g8jtdDYIPZJbIYkkyuLF+PckTUnLvJKPexXmj3tqa8HbWshKJ7RSd2
3a3dhKEoMxbfqDWicaOatHtcMK/ehbyh6z3LE+xgfMIvGVfGv0PEFNeyC+TaFo5/mMtc6KqbRrI1
jCQfpqIabNbwac4cCmyvktRuRCGmDDclvyckCU+kxkpXWDX32MWx2ApTrXtWyymr/ciuRCz6q7Ed
1ZTlACTfs0aau5QGelWXUG+8n6HPj7PZcBrtlvNEPviKIk0t4Y+AaisB7SQadJhTX5/b2ScYoomK
VA91Ut3Nzs9zJmVH7DbtK5tmVd2EMqMAOIYtFLvO76oYu42BitXp2K+jz4Z8MddNMAqmE5fQ9sW6
bpFL/N3Sls0baC3009jy8QDQK2AokS3NSOfLVlclbiARRnfoFrVC9ZNWxu08Iveas7K6qpaKXLe0
me5MqdTbcSDowTY02fk+N3drUgHkIWnv7mEY1QNaV4iut9CaVlqn51zO00XhKWszJgdxWVT15LJe
ebbleTtscY/fLZ2z54VAc6nTpSrf1cGKt0s+f566MUkzhKbpgFK3w4uF1jWzku2raonve7L0hc7j
6As9OAlOa1pM96ir6ds8Ct5BRKe802bA0morpvUwyYa8XyufbqApJe94sOWdRbl67AYfHxCN7rLk
hFQ6OjwALnGIHWiZTvWWpjU2GrXVuLNk5U8jp+WhS8bgtySuOG7ZWI3QV1tr5ozGsLxPZZ9cz2nX
EO3ykiiNXV5dJLT0V3QU8yZd8fQxbfrVQs4N8g1yaR90qXBCLtoKG2AaODVv8Tgvua67aJusS/qe
6wDN4p3s++aezbI6znlOMmq8yeQw0mQz0NypjClAYnqe1HAORW8YN+kyxXrT5r5ZNIszfh9Et1SH
SOfiw1K2OM+avJ6uunIN2uO86XVdiWG9kICxU9RV5mKJUF52ZA7ioykCuswtH8+LEvfVXhC8vg59
gbstCmg4MBOTV25gxW3gTn5oIwr3EwIKFU9LEshTFWtYBAaSsGlLCynvYY1kvXH8cp06dLQEKeA/
sZmNDsE0tZaUmtvA1PoQUpvcLGWEYi/SgkIVX+vkcxipK/XQYFXrYUjZ9aosB7pQk+nKr258txaE
fDDJsAw7WPL+0xJMdUSe51XWWm/eumiN2lWFMMcR+MZnbKdpUzSm9tsmWIc23oq4zZOpmnRfVv41
asp1zhIXm22dpLLV0ETnrarkUgA6GGK1qYo1XAx9qW5Kmas7mB93PQcEqJMP/bvGz2grc+Lcpgfw
0mXR+u5dE9rgdSPD2Gd5YtkWmTkee5rMe9JABdiUjKEyK0UL67HsYntDaWdvRovNwSdkkHqmhhx6
Z9mQ1aKeoiZlFXBWWCrajeuDel07ixrNWvEKJWj5ADyGtLqMllLt3cIXWAq2v+6XuKDMBhVvl35+
Czbm/ZQE/9BM3tvtGF17M9Zp2t5OVSwO04rZI18TAYeWOlxbg+PRs7nadhEPb0dPhs/RpLLZJHMr
79s0NvcrLc3rZa6hE1WTKI5N3xRTtgpZXBiHXLUDIJxcmVZhthu7xB0LUyYZsqR41U8cny+OhP68
snVa7tWYTEC1ezlfO1X0N0LGSdeFX++4baJmgg5HwSf5DjymeN8D3IobFJP8CFSJmx2KpD46wJv9
Lvil2awjrM4M46UVNx7VCyQQKCfZKqdln/qZPE6L64+jT9vrFFVRz0osjaY9nRXwyQ4QWDH0g9HK
J/E26edG25rNT4KY8NF0dbLosZRNv7HjdEKsUCcegc5OegQKLzLMuN9MLsEgQLBZACwql9dmLmuk
YYqV1Up1JXDprpiHTTNVAH89JPaSmWklm0RIfyzXMTxQVpdoQ/PYAjSriTN7k8yLRoj6K5nQuK89
J3qUY3zbtSSvbpqk4bCG+1Pd7Gy6kA3Uc3LhQwzNbVf1gAImYMJ2Hz1dAF+IdtW1AlS0dAVut8R2
MyzmWq2688E8rf1KLgYpq3QrfVwjoAdTmU3Ty/5iKGufajLny3I+11NijlKovtjmtF3edwpgWzqW
zavolf/Eqlke00S5N4xVxWvlpnHRE07n/Zwm6NgiGvacx/G4uEJma+LGzxWaF2DEhJZlZhtXx8wP
ctosKB92IbJkDy3Jb1S1AI9LgYw1WADNNyCm6MYI9kSFGUbNVcceVoXqrcNAIo3i58JOdLfUNdm6
Qa33U1zS6xrUmQ1OqlarfIhLZmPZ3g1c5U/t2mFtWe/v6zQu0LOHYdyNbUiALwZi71YQpXZDLOo3
VCXTdV3R+NB2wh2BOg4loNk2vbFilhvluvxqqFN2PkHCPywBoH+f1MvBiGizxUb3uZXC3TDcswdY
9oCES3qO7ECOEeXhrQkTvWg4Wi/EiuKhYGQ8jqZwugnE7XHl9SDYPWDy/uUsor8ojaGXxUjaQ8Ut
f5dC5D7kpDQZcCC2myztN/mKqstudPZ2EEsGMhXVxdA0Rs8YdIYhx+azpMWrPCb1gbJu2/Q12QO2
m7MWeOZ2Iay/DF14p6bV7X01zHtVqH5btL7aSK4Anq7yjYKCdeWKbj6ywT4hIfKTWlFtSV92OhAG
eACP57jI7YGbUF/kssSb4AqbGRTr9yWZ3dVKfa0VAYoA3WE4tBUNh1CWYpMEWe7gfYadsJRsWrVX
LTTPf03jUPpPLI5KkqYUXASKEOInlveVxphA+XUzFJIjniwG2HlCaZK05rqbHZ0zBktoyQQXSHcj
6XbVMorj3JA8/ruBENhS9R2fFBxRdtJW4ReRp5F+NZJ+zH1skIjHpef7chrCh0KReX3ZTVQNN1I6
xG+rtBJkW6/NfDctLfA/LsuAtssE+V3Q6fUcMQOdbMG92TWlAv2MFKzxj5ytgm7okLA3PuD6Vqkc
Zp6T+q30yQqyxEmQa+YJfRAuOpdhYI1vQP5IdjEEco+nOXnqixyA9yjNK5GSUejCG/s2WEI1lDh6
pVILooCc0jeyN7BQbBFf+paXcgNKrNoua1pdUNgusiFLSwBIEHMzt32bBdmHOyGa5SKJkVyNtYF2
6Fi9I7F+i0mbvgzYnIsZyQyfREtxki+7ZyVzigEqZJJUuNiC5MruumfZ0zxLoAI2knzunoVRTL34
KCSXt5FV/d1qVvSGk9R77StA+bo+AfYY2Ig3xkh7sGMdX6mCwDqtn9E9ekb66hn1x2cGYKdqeWKu
h9qZTvKmfOYJKLTkkEfoaGHwCu/JM50ANYk/2tXWmlVKHpMcvzJsGY9d7M0myWHiq3VhOilVK3Ry
4izTM32RJybTnDgNP7EbeeI5eRFDsZUr9OeyXZQu0QyM6MSN5IklFcVsN33XsD32PWiUJ0U0g2qS
fKifSVY88a3yxLzUiYPhExtbEpC3fVoARQMtB+hapwq83nM2VO8YrrtHJtZ03LglkPim5h4mibU1
uw4r8Mv9TDlo4SCkd2/7vOPuY1Lw0W4LNprPgYytB5/zX8ku+Fn0/8YUEKkAVwIz2OUDPhMGN+Tr
NBkdLydSQDuxgLWuuiSay3a2fjP0pDq6JpVHL/tmzvKxzbexb29k3eaXRWxtqxM+x3MejAc1bU3M
BhQA12nXVPMdsJ7WbSjopG/7ZuombSzx93T2k+5wSUEDtPOWi3jT1PnNXM8D0c2MpkskmxDAUIj5
k0sC2XHb8SMvfPUSKxZB0uflOeHoviPFjcP5raojujS5GUEBzncoNfeQ4+Q6bdYrIGYq4wlNJ6h4
KUs06HUjtGwv+aGwnk06cACo0DvSw9SJ+pbzMr0lLZrotqXMPCDB3d5MpdqaOCZGt6SdQXtbquEa
iou/lf0QdwMgmbBhoC3PGuqqmrYs1tX56tPGZyPqOUiGvHMfxTj4E2AeAUiycIvVNLxezZxvWlJO
GWVrvVE+To1GtcjfFeAqvItsaVw2N22/y0NV7G3jkwq6LhXgWZRhV4rFHJxkkHKUzxzer+dRL005
fWxypaB9jWm+Bybs7CYOaik3Be4bp8U4qQNP+/xlPqniQ4Novg/C2G2eu+QugjICSoGVOlo2ndel
nDOcWnQN0uIKqxJAZ12qeFGpInmvXN1t4XYhQ4l0d5UtJQadt/Ov0iWHDDBE6mkOoJmBk1Ps+DhC
S1vZtFuED+8mjOxDUgz4tS8bd8jTNS2ydvJQmuJcvlyHYDZ9Q8kFgyqVUSHCtgWvYTubQtyKApWv
XDpUUEULha2WMDPnlqS0BhLD88ulWtM9F0UKea1Kctk17b1Sc7ebahAo+HMnWouBvuRJb67mNdYN
yDvpmOuSuCBvXZWPRHcnEwk9+0koxHHN8mefKT1ZTj2oumtmupMTlQ81uFLKLmW15Q5/QM+ulQL/
Cj87WQNhZDfiWbyun50uh5OE6dbOwD4tVG+3gerWvTOg7tkDoRyZ67XrULo99bGPdJxjD+wbSw9A
ANy2sp3mUXd9hJ/ADAi/svPYH/t6LbfzzNDRYx8AV3sK5HpUK0hNQZVVeSglHxZwSkbPNr1F7QUZ
CeAJ/6zpxpO8WzH01suOSR3MQ6XsW9ufEgSX4AwJe+7zdT3GSYldh9rxNOphx8BovYgFWERD0rJD
Vy3D478uVGCQftvNBQJgAUWKppwgQk/e5lfdPAVlvgJJVByVYddG3fiqv+yml88P+WI9f1Ghf/VM
n9pu6S1w9+++/tfVb/vTn/c8/37as9H8j28PbQP/vz/l9KDfz4Ebf3nwyVT+5ss/mdx/YGP/utn9
Dw7+OY+bYM5hLn/vCf9kcD98ta3pH9b4l8t+tbVh5w4sTiIklFgJ29wI9IhfbW3BzzBKsYJ9PSef
moh/+NqInFGVnnaaEAXOtWQQsS++tjxLAS3AVRRSlp02zf9PfG3YIPH1yjhZBVgq+MHgaTjF37na
vSdy5JH3W2u6W5Q3E+An/x6qhsl60HeSUJ3TIa6HcaiKf2danAz9bx4OuzIE7AfEMCfgt8OLfrss
Y4LSEkyFeovqZD3kgZssCcWS9XEA1DKKAJZSiS/tMBX7sUvtZWhR+uQWZbaqi0WzLQIdZgD/a7ye
QDQEfSeyC9cDfewB6Jz7Xjlt+0FdETvIzdgvU3vI+WoWqJbdJu878XJSKauuukbazHP+QAqiThYe
3FCsbacBV6Ab8BrrdDPy4crYpgKFsAJThIV1V3PSge9WD+Ra0DV5QKmH8gBC3vqyXwy+xHJIHsRK
I7iXrbqZiVnB2CD0ylSp29skWV6V1tOtF3kNnTSuuqj5uMdLyi5UNak9szYeV0opyWKfJFZjUSTV
gQqPLwXzfNj0iR3nY+JZC+Q7T3y3p4Lke2OB+/dJzkGzKhb5Xua0JFmFO3xHFDJdNjQqnNQnmLWB
LIdlKofLYPrkMFe+aF42xEyfmnxJ3zk6AL0EBOCWLAWPu8sUnue3szFFpRM5N/eODG9Gn7DtlGOg
YjhcSEcvFEgyB1P2w2Hqpd2XPnnPx1RdpSONfFOP0et6HEasq6oc7QUvSQyHtYnxeuz8CsGqqotJ
xmZfF7zaY2nkmJVetpcOC3ws6tgcyFTMD4a0oOnkIKLbflx3wyCT7TpCuAdUpY+14yl0lG7IMyWa
uK8SBZaMny9VZc2u6vruiiTVvsWCOc3mYtEiGSTYE0O5VZA5DKD4iC4BbxVd1px8yL6c827XJTWE
H7ZH7NTY0SN48VGDCqN2E8XrhodxeMMNkm9EVaUglXawpg27kMgTPZzWeTC2zjxsabkCaVo9TLy1
umhgM8k8gNZNUnBNWAOSgja+iBoiODwIvNbgnrC+updmUGgzMc5Qmy0qGYpN1XoEe0kGO78v5UjQ
ruMSpzDFqfObapgsZAuaWbWj69qA2jljOu0aCxscpBPkg6N5uEuJs4UWZaj3i5PL/Uxy8Wk1uL8X
86BgD+GAwRAvxuR9aXG8tGNDH0jFU7SJbfTimhaVarYuTi1Q/onl8w4lid9zxUBamVNrjI6VN+0R
PPX5Q7dE0HOnEuPLskc9ei/lsOxXwZYMIDe0arXy8sMQ+/p2bspq481YPwwWs4Nr/f9l7tra60aV
7C/SfBIgIb3um3yLYydOnORFX5JOJITuCCH062ft9JnTNhPHc3ia124HsYEqiqpVa10qpC0v0sb8
3OZg2LW4yk+yo/Rn2fPhL7Gq+sKWsXgzSl1dbtMsAY8YNiAbRrrcImMwXIexGGDUSDh/SAzJvtcF
LS6DPtkOQdwE+04ZU+1L1cYXeJYBXiEipd5sEfJOlnbTIy2Q7m20iW4BcYm/FtvSnbTpxU/01kRH
05nuXRcsSF+aLPralltyF+lN481UYAnXVH0o6qrPm0WFN/Natp+qOh4/9iiKfuBpxi4rhfTgMNi5
OMRykWavtTT5oFTT7SRyVGovChFN3xtBuvK6olMJgEzdpOwDwdvCoN48F5+mrciL2lY/kfhP+AWz
oUapp4r77YKYYEPhU9QWQWF/Qiaa2l0Wb216qPW0hvsyHLsS+X+UulUUZNNhrRfxFSdttahSVBYO
iWciPAQC3hg5vancV7IvUFEdjO1QNQFERPORZ0jc2PZqozZSp5FJ4ATSgKSXxZhGX+Igzu70tC2X
Y8iLR0XJVBzqAA/8Q90ZESCmXmA2iwiKr1ViG45UWGauSxubj7pG/vOyIJMoDmMtt/torAGaiGi1
HItSrF+7eh1uUWpAnb5q0+y4BPazNUFHDrbEwnRLA/wE0ig/xsIul2rr8W7nZNHHUOsu3dnFIgRM
8Ij4hMO/lUdAodZyb6zMkJsq5r4GXmO04W40S4LqBEJytUeVZ5Y7Zobo8zosKOPOlYxOAEx0bJdo
BO1BZxQ7cjmwx5YN4adRlKjqIAn3XWik3inbskM2b9MpbEr11qxJ9peiG1LH45rVOY3nsNtFyVZs
+2YreqQh1yXe488EMq/j1iOc5vShsGtSIbsPo0dZex4vbD1hAgBqyHLXVpspdiaqZxS8ZA0IiFQS
z4JNo5tiV21WNHkvbTfvihLFfeQ56LaeUok3Wt4mfRrsyPneQbjZf8TVUwBVgQSZ3vfrMnyQYt6u
JeoYJ2wZXl91Op+YbNYb1Pxx4aF8m6Gmz+erpV9Uh6w7iqgo7LTd3VgovY8ZzGEIUPaMpI3vUKqs
qmPWcvq2XpbkNgLKYF+OpLtpUWeAN92q6zYbTV5JjdI+kip1t08ThsIOIFrVuyDKouRgkB8FUmcx
4dnQAwQJ80SOJVoS/qotoHZ7bUW2AryQqZ+TDdO32yZpj1LbGpxUWCISyvq5+tSyhR3SsJ/vkb3N
6Zysd5WJsnebNOVH1IdRSSeW7wu8gdodctyAynWo61dIVd+oqqzeKq5gtkgbsQ9NPy7fFyskbEZM
Z/hSadddVCXhtk9DimQ3i6c36VbdWNYdm2nBhaxHlbOwHxBBkOphWWtzu2wD/nHFRnlL+iC6a0RD
b9kaJcvO8EC8Q7os3FngUa6rAtiDtgWmoW/e6aACbqzfIiQ5k5MI8XpCAPudLUF8AJzurbRluGst
EvusHvA9/MPktBQtv5p70+ebTMi+HYbqxAZq1Bltl96Zqs9qFKsi2h4kYaTf4a3ZozyZpp9wy+F9
3eNQIQ5CIPSzXart1qphbS5TEaDuQlBL3WkqWI1CJCZ0SaqWTTsiWbgTSk8/tN3SOWepmL/rtJrs
qZ2Xpdot0zBccKT3b2SDavZuTBvgGuqW2xiuNQZwIovawlx2IgE6wpQbojXZ6u49A5DvWtl503u8
Z1WKkC/GfThooR8BPiCPZgwbVPNTQGXOoQpqqYmO212Ypkwc6zFMvm+D5PdsKszHaENIuR8XIa/K
FJgooFoQfR0nFfYfABtV6xFAEthTa7PsblTDdivDCWiSjrOHGni6i5CQ+i0tk/TTquQU7oFeaPqD
TJN1uCxQbJOYdIKZLHDgA2AtDd7rI5KHPzJJRHVCQQ2lY2pq+z6mcVztELETtu9sHcYXITCdNxrg
NwACyr6/qep2+Il8BT5T1hEqX9gXBr+qqqnZRwmDExOLidXNNCKx9LZrGUAdUxnobt+0CwCKrAxs
8bYM17Q71GWEXR/shgWq8dhtDhIBcXyKbUXeL1MxBVe64GV4rBdClqssGZf0FEUSQUffZFd64U2K
sCdcEQGf8UaRZfJqKOpMIVoj6cOwGfKIHETyCKOul6uITfS6jar1ZoPTkXDpkn+wQ7F012sikScJ
gZEwqAYDXXxIRTYhZB3W4XrrmuBrGoxiPRTBxpHECRFGIU3bAeFB8HJYTnOYoI6KPcmmq8oWxWPT
LPXHyTaLuNmqOUkv49mUl00/6VM1jcGPMKqLK1lESb8Lcatc2tXAFfdpVX+ihoUVXgnB/IjdHoBY
3Opmv7V0vozhzC+Q7SDXGysnBDrFfIPCdiP2cdH3BrkW7BMmofcrMCG3wxI3FUAnJRBTNcIjfUB2
M0Zhm4xD+cp7zK0+MLwyM0C6Odri4jRi7JxFeJIl6IiedSPYfCyisLns5/JbJ7r3YzR8omeAS9zh
YuVVdkCQ+UXVy/Z3/uDv9uh/pQ+eQqzPELUnudRfn0f/97kRDM17qII8/7wsFEHuM5iPU6HGXbAN
3Q0Wv7l+8j7/zVd+vWjdz6DTBi/OEN9BM/Pzz1i1LcRsTB+XcsabcNFDiToRDdILVqFou5fL0JId
ybrqrw7XEzkQMzZILC6N+RStNr60KBreJEM7I2HHM9QIBMCpLCS3gRnsJ0LwUBAyKbu9xr0439Ew
6YvTf55q+X0S5WkO5f+Yjcl/9Of+LvX/Jx/z/Wn//f+0bPxqGYhQEXs5G/Osn+Pff/+kuyDi8H9I
/6H7M0Em5O80TJL+F/oHoizFYQjxJjqnKf7VXkA5ki3nFEWC9mpK4wxnUv3dXpD8F09CZKRT9Byw
KMmy/6i94PnZD0jEzj0sceaYnCrWopciQ0o9OmTxW7Wg7/rfv/83p/2lcR1bQkJ3SVSz8uMcV021
2zZrHyuSrH9TGvwfTfafaTt1ypoH0pq140d4wml6Z5ItLB/Kdet//nn6z6uQ/4zv5CuzdkOqXxYJ
nuCxQtExajOEprSOox08B8yT0XH+l1H9xz/GSYEp7H1tyi45rgpeY4f4qwRM1Cbplz//mLNj+cfx
/PNjnFIqz8ZwqAHAO+poYG+iyLD2vQnrMLmx6dytecC3ZEJwMA7v/vzBFzY/Pef8nvjxIQ2HhZ8/
uDQZX6/6Shd6z5SuxPHPH3iePPz3Lzr3jz79QCo2E86axkcjFTdXCWDUZD9IRaobgC5q8iYCxE0C
RgGMEAechEXjKeyqZbr48/edG+ufCTg+fOCtkrGy8VGX5TLuUZcDsCz6OUg6AnI/lgaVIG15gGJc
CUy8Jn2fdrugTEkL+g8PA0vPJ/fJGjelbRfAdLAEKYn3dOp/8tiIV37fSxvoeIUelmpSO8dHaxX/
FPa23xWLrt/6Td3xDU1ai0TRCZVeKsSPEHQzN10gpH4FQ/DS5B3f0AcGBSxUu9CJwJePkRnZbi02
7ud5UsczTI3Bk4QAEzr3aFY4hmuwTAe8NHruOX3HGxCgbVPb1PAGPUOPkAVYCFi3EaZ0+PPyv+Db
zg10T09OmyG6rnXJ87ZRY/GOt6iqfwQmPwsBua4yfo8wnSaXf/7YS5vh+B5SI1jpFV7uXW95cod2
iWr+iBpx8IqjfmF87rgalYY6NGuc5lsftXhgsGBC4VOq6ZXdOJ/43/hO7ixWhrdJo4kt8j7AU+xk
pgglwcbYSABkWbHXADgvfcbxJ5T1KMwOAc/nWZP5okv6LjwC09usx0Ggw83PrrnjNEYUZwu6tmk+
ELk9yMmiCs+T7OHPe/3Sj3C8hpFrGhnEODkJACZv1MTpTclsPz7KOJWvQYRe2vHzf3/i+Kq0HGTK
hzSfGmYvg3YL32ZlNDWvPEZeGt71HoWwIRYnyZE7JCu6RFb2OUEh5vjnNXppeMd94MHZo9MzSfKl
wQ7MKCYfmQ744Dl7x3loQTvb2DrNmVok9sCma7BToRWb5wcce5ZZEI/ZitVHXmPsLoco7sxxqvlm
XoG2vLBA5yj56fZyYinSvWuSZ6oSH3mq1B3QzqP1m79b8eN2OrfXxzwfKJvFxbzRNdtVsjWhn4kl
jomtwo7JTCaeS1WiLgOU95Luas2m1+7ms+f5jUc6l4efLpAt6zJskdfMkTUeJmRAKOd3bbAtyVWJ
PhN5XEtiu09Nm9IvuitN94onfynmSRzDa9ayAIbWwBU2aTNcVYHCY3y3AUgijikQLQwdrnO9LXtR
4XGKvo+t5OgrMbR/v6BVR3susGOgtkgAGpZBkbccnYVUGJ6nvKGvnA8HWPXvyC4hz5c3XmZg28mY
5TTcpv64RcUyH9EBtDUXAyro9i0qMj2QdMy0F2xLu/h2pZR0bwhP0/pTKkkcvzKVlyzBseW0q+MB
WC6WD7xQdJ9s2Y9hXc34ys320vCOJTcTcFh2rXk+BYPJyxm57R3wPuVfXo4uduz4DJ1Cx1fJ8nJY
088xbrdbFQatnxuNz8bx5BIYAbipg4CjPt3gJQOgVtpuO6TgrXrllL1gZWcmmqcfUGK0MVmnNJ+t
KchlygAt+rYOESyuIlXY7zqhh3ZHtmQovw/tpojftsSO/wAGuMEhAuY1SYsWEKGRqHZn0S3j6cFj
x39sDE1FOkEXKyBE0TGxS3nYkj44+G37+bQ92ZikyMKuBn4+V7qc863jyMlPQ/2KD3rhzP5qQn06
ehRWwYpQNa8JeozIHNWHwvbE81A5po9XDxpNRb/lBO/GXVhFj13JXgskX5q6Y80RQIRsbcotL7md
32jbhbieR4DgPM+NY85VreeBTnbLgaHNAN9GT09BU5Z7bStzrJkiDTzMEqPPBRL7hnKANtpI+M2d
OdacdgR5T45tDWZS7SXVyw6dh8zPjzLHlOswmEJTqC0fI9GcVAb+giVm2+nPK3M2m99cx8yx166I
q22L0PJkgvgHnp1yObFZDl0+G554/gLHZOnCl66WBdqqYLjvMlR+jxHrpd9znDkmC5oHysyWmByo
2eQSiBN9qG3n6W4Yfe4QohkI4XSrdV6qhl2LpuVvUHbznLpjsbioCykjOudjXxfRfoqJ2vNqldXh
z5v7gtEyx2jjolQy2JDmQdvneiXncr7RRdF4GpVjssiPBgvQqPNp0qVRQD6HafM2nlKUzr2mTx2r
lZFYxnJBx+daAvkqh/izzWz3ysF/YW3OqMKnnh50A5IB5rwcx6ZCY8UZSDVmmfacumO0dKgZKeoU
ndxd8HkiiO+6bC38tvVX78mTa0QOG6BsKvnX1BkZCXg5Et+pu9YapwVKxNFyzAySxuQ8uvJfmPN2
PJ17uAxFozD6WmfVXqcSnV8oX3suu2OtFYvTHihNjM7Ij1Gw5lSK0jOzRR1rRYtsk4oSg2ebBqoO
hU68vJLVLzb4hfV8sjDrTIFhtBIA/rkw6N5FNT4aitnviqKOrbbVQLqehvrYoQNsZyrxQ9db5Lfq
xLFTBXjY0FdGH1tZAabD4s/Boojn4I6dhqBDobZCVZOPYQd+I/FVgTrKc3DHTEeVrTUiYX2sz01w
SY22Hj0R7jm6c7dyNL6XIsgw9UxHbwBeoXco5jd+JSri2OkKuFEHeLLOgalD0+nWpUmMNjsAUv3O
DHFMlQAx1aK4u+SWtSDKCugQ54Mh83cv704cW40EoGf92uJmRTn/KqtVdFAScDq/0clzP6PRv0QB
c9P5nNEvUU3uFaP3fkM7t+qq0F9nbTDnogpu4R4/W8I903fEsdNMiJZHHZ/z2lQorlfxQy+L3m9D
I8dOO6mCKUu1zgMxoxmu5jecoDHYa1XOHLVPHTvKwmZQK7DDAFf+JWz0SOL2FejBC1d15FhpKkwJ
qpnA5hhWAdNOVIV2I0VLP9cbOXYKhKSuJJvmHGTH4Sc2ww/slNgiv0gjcgxVjw0Jm6LXOVqptkO/
8m+VAOWb37I7RlqkYuQLgNt5bAHWadsBU5evVV5fWnjHRLMuYWII2jkHmWD2JlVl9KYJiuHRb+qO
iRJwF01oacRxrIpqR1vziafCc0sdG90Y0HQFUI35FIN/L0rXz82Y3vnN27FRZthqBMXYQa0emLZv
gLp84zV06FhoD4aRcgZxwTEsgmAf1MWN2ELP/EDoWGgUDQPfAhIck/CM4edgNrGNn2sJHRMNKsTp
Eyhb0GzQ3fdlfwLnkZ8nR7vOM8fCAIemK3Lqx34D5s+Qaxb73aChY5iDjeekB7tDnrTlTdqveTcV
fmVWF4slmnmttMakh/bDtqDxgn/0OyGOSTZZPQ2bxCaiV+DbtGb36Zb4+anQsUc9gl3Egq8st6qO
HsCdR/JaU3Xwm7hjkbQrztSF2ZwrtGqCoUdeZEX2yW9sxyJlIxQIR8PgGAtEt0GYfGUZQMA+g4NE
9fn5w8EexybElVwJ9LfGCsQ/oAldvAyHZY5RAjnJZxYvwXFM3k/9IUUW22/ajkUCMD2ysbIz2N4A
5jBUDTtQ8Dz4De7YpEH93dquAHdgNVyYBrX9kdaz10kBmvH5gk9ahzJoMHjaxHdUD98Fs5Pnqpxv
uievrIzFNhxTYESnlt7FGHvVi+/YjmlGRgAZinaYfANf4g2oFeqr8dyq5bfkjnWiU3gB5aPGQYm3
ZLeF9YcmqbwCLBBqPl+VNdPMgGpwzldqQX8WsiLpDwQRkPByLejMfP6BwbRgxgGYMy/Z8DUwyyOK
Dx+81sUFay0UjGgJxbpoXcaHUaO9kKaEe8URSAg9n/hULRz56BUTX9c73YdX64J+d7+ZOxYKlH3I
eEVVnkr6pgHg8AgqROK34i6+SpcTMJdgPMrDoblnQbOvp8orSAHs2FmTcydjSVuVE9A6gCAgmvYR
q3/6LYpjoBYVBQUSBgWAQfK5VOuVAFeO39COfa7TXMiUBFNuo8bs0M09nrq29kNGMBdY1cemyxbA
d3KUkLZDh5YjTtHL6jd1x0D1AI48dB9OeQ/4C1jX9BRcB0to3/kN75inCSi8ItPY0cX+pRDBrSr9
5jW0C3CacfFUQ9KrHIjud+swXIZt63cOXWzTUqQyqRs25dsyVsfFlOQQNN13v3k7xik2VqhplQpE
ScNeMnvbpq+FnWc7+d8lF+aimEyAfDAYP6a8apdY7yae1G/GZACzWU203fvN3zHSWIL5R/bxlDeC
fmkq9hgM8sFvaMdEVyAem4QXE+x/QXOymiKA+5lfqQ691s+9S0mqWEzoY8yBen1sl6DbsWD46Ddz
8nzsah1BrBZWKo+JYAZkstoysPA2lfS7pLljp6wq0WWdNjiSa3AvWvIgRr+3OOOOjTYiBtfTjKEL
m92DmPEtWlK9ylDMxSw1qS3acbFTTouW5EFK5ntQIQovpC9z8ZqEg/VrAS9bDoIVUH9MoKlmnoAx
5uKh2rUI5hWtV+hGHcJduPDTaNDJ63VcXCzUPDGt0QuJdbHhNWi4rpt49bMhFwWVmbLR9VhOOS9K
dFNt9jqb0DruN2/HQDOcknAlEsQx/XJHo/FmCmfPeTvWOQlUJxKDnnSVpI/on75v5Oj1iGMucqlY
WSvLAXQ3CVYGbI6l2YEeMvXzh4ljmTMFf0LdZyPqNtW4n4i8R0+fXwiaOKYZhnhndXE4gjQC7F07
g0TFUYdB4rcwLhSpBn3QtkCOIKeZbcFznSTvGhFufjvqQpGWOk4KYO3GfMsmso8Uu8VN6lc9Zy4M
CYRcaR+vPY5Ln7FQwteCvqoCV9IivXI4qPA/d+mA54ZZCRa3HHQahu87JM/yomDQbvCyJRduZKXW
ICArhjwNlBz3ixnanzrjxvPRGDu2GrVQXjBZMORTZUEwWiY12smr2O8V4AKOOF/PvOvhkOsGPcch
uHD3FK9fPz9z5th5+pieGyDwFO2GXDEOnqdoI/IrepRBe+C39o7NrmJKJrNibfoK7NliBkVpE/nd
ebFjsw3pTRtwjXXv0uHCqlCdTNNXF14zd/FGC12oHRoz5HURb49hX5SgnEkH6bcwLuCIwk/G4LgZ
8qwrRjBq6hS8jeh/TUbPDzjRL4pxsu+GBStPlbmcpvRDNTZ+uXnoyTw/Nly2IECYpyHnbAZ7vbo3
cn7vt+5O1FsW1tCmKcecd9mXDmoMaO5nr2Frzyb5m7jdBRqB9ZdDDKQdchCipl+gs7ReaNkunkfG
uVnnMFjtBk6IHJaa7RJAX3aBDbifG3MJzCYboEbfYPR4sVBxiYYrkKC8Ykq/QtDfLYxjp+gKB7wu
JX2+JLIEbUPb1XA2XKxyX7ZZKS+g/GTe61Y1l1TRIMnnqkITNlrc+HiH/J+a3oNbKLmQqEv2F7Xs
IEHEG4FkfLmOaWjAb1+P0wczkkDvQzt28mtfVcG4TxBYkkMUI9d+5INe9aFBmzHUCVClXkEZHaR1
TqAhwC6LvjZ2H4XIJnwKgOy1p4jWih8oXzGmaUC7cYKER3UmbyabPrWErNtBLS3tvkDhghV3M0sC
sOlE8Tjm6QYCxXxa8XsPw7zFRxDXx+m+4wT6M4nlpb4oo77MbpK0Q1/YmZ7kPbiQDIiUk+lyEGra
8rDPUnsybQNWjGViJdifOJQkjuhXX0BQ2YAvEPFsltl9OgnKd20vpujagOA+u2xoNLN8w2qD05bK
5RLU0S10eJYQtLAhSAZ2dTEV2/smqnvuF4Uwx2G2K9OJBElxnsRVj6wPaExKUO172a2L9KKssAgk
myGvkvZHwSTYkYXfvF2c14JKzNqAeTaPdZGrrLkqQE/oN2vHS8YLkCmgph9yEDKvuyLIQI/ZRL3n
mjhucgJzSiJRtMtLUkNUSY4/k3ryC/qo4ydrtLcuHQ/7XFsNjh+ziouezq2fK3O1dKpEhBoCYiov
J8luGOJXIP/1/Nlv1R1HObXlsoDStc9lWuqPUzpuSOZ30E7wG548v53GTsxoE8n6PENSeReT+qba
Sr/mL+aCvEKYcMzSAbxD/VC0hz40db6OofB85bgwrwhqAyCRx4lMyjZej0R10PKBEJAcD16r40K9
ZigpFEE195AJa36agV3FgfLr6GAuF/CgzbSMlvc5OFOBI5sVh3QFzWry02/ujrkuMQTkFk0GUPGD
7nzH+5Gixp4SMA35fcCxWDN0DRQPSgQI0IDZQXmkPgohPAMEF+81cFPUW4krHDUaEJ/oKIFKiQlz
v7k77xATolU6Fl2PRtemuUroEs+7ZJwSP3w/c9Fequ5KAJl6uOFO86uqo+EXvGmtXyqYOEbL1xaa
XArxKlJZ62XBCp3zcOaeh96Jbwik7jJxvp1q0ZZ7ZcZyp2dwQfmtvHOxgrhvhcJH2ucBRDZ+VECb
/9ha3fohP6FP99yfxVAJrKtaDnmc8CW4lFkX7cMCJL2v1A5f6KsDiffzD6DdtCjAad7lWxPR6WGQ
Yun3Be/IcOZiDB7QcHYbBFlTHxDFQT6rzPAYPVVQJ+v9dt/Fh6FPN4GABeJPAznJFIJ6NQgo2qob
mpPXFrkAsSSkG94sZ89UzFFx3UK/lOfQh5xDv+yUCxEDJfuEjlfS5ZRGAppIpjYMhFBs8QywIse8
E7VBTIzgA1YTwJY3/Qj0/ne/1XEu5GZu7ZxpCEsMU6f2a0lBKRn7Ttyx7HLcQBspeZsjtj01RF4R
ol55t5x/+2+eLb9aKJ9gAdogCEsDBpF8hvDlXgYMpQazvfNbFMeq56qZyjNrWV7oKT3qChJCbSw8
r0oXJ2a46LsOO5qLaQ2+tbWh36cA143X3F2gmKpZ17MuanPEWrcQ87puxvIVLpcX1tzFiZUr6ozJ
1Hc5GNaqq6iZUlDz98bvEnOhYgb6KekiaZtTmfbQbEohQFlx3VV+ZuoCxli29jTpIMUKstt6P2bp
hWSR9bsHXMjYNHRlWWSigxxfZW4UmOf3fK6X+z/v6Tmy/81hDx0jzYy0i4lwvzeQaEHIH6oyOzZh
1PfHBK+6zivGAg/a88sA7B9FMcxTk28T/4aH+htI7T7++Rf8/uhAs/f50GwJURpEOxY6BEGTuhuV
Xn5Ai9OPeoBmzgIJxMoQV+4grjykBbI7Kr1sk1h7mRQF2dWzVGlPar1uEyZflBXe+BEZoL24+rkD
8E8/Hz1LNhA2KiQ7ICAS2QNY59ZuX3ddvfi9dF1oYGqTIk1o2eehpqA9xT7UZ48ZZv3BZ3NZ6PyC
NhBqXDIBlxOT93oO35VR4bX04MV7vjjgDJnTcMLckTSNwXGNCs0GyUUvq4XE+fPRO/iYQALsCRXd
qXi32GB431WxX5MayNKej95ADE+HBKrMuFrTe/Cix/ks4tRr0anL5DcgaRQWEOwCxgHJpn5M7wNW
Cs+FcR5D2s6dBTFsA+AHmLmgRjOMn8G/3S+e4zvbmi5gEUdk2+RgfbWHtAzDux79fO98ziNqIs8X
3iZQxgjMGBzKqFz7qxqKdLeEDLF+xaB+ZVr+tz+mLrAMUsRkTRINb3bmRX07RlGnL4RcxumEh5gm
J3DpgSV4jJu1vwFhaLrdDLwe288E8hQnnZDtkrMASkPZBp0QJB0DCU25Ll5BLTuOVuy3siq2b31h
hT5BbQ/aTDqu1++0Zex6Ger5yopqOdFCn/n/wYFR7cJWsO2hitDfci/PPBUPnUgHdcCDjW34v9Ag
qkIgP2/roQq2A/5aiTeUFP3y3W/RnQc6cI2gJkZD8rEsovp2yWR2QyC26HfBUhcS1wfQw0Z2FFz4
a/gjIeM9ePzv/GbuXHt4a0IKPDEypxtwtg1hl6RXrxFpnC3md0fFufi0DkB/DpHLfBzA1XE5qa0x
h8wC9XAARXVWXiZZ0lSf/X6Jcw1GYxYnbIllHgxBcmTSNKdtaMoPfqOT52YFXliNNyKV+dKzCnJZ
2+Nck9fW6bzYv1sn5w6B+pLQctIyTxot3gNVzd6mVbl+XesoeCWz+dInHKcTFhmkLYYRQjMrePsP
FbTORwEWZSTbL4VBR9srj+oXttxFzQGeUOolacpjKWYpTzpeI6DDguYo2i0leyC6/bJKUFl5viOQ
MlrbYmqwaJAEAtAtgTqu9oypuGPQAQhHkAjoZB6hHDdTc5pp9IqDfmEnXBAdJDpkuqEH9yBL0KFf
QmwwPvVphrp/Ui5QQ/Y6r2eBmacV7hhjJ0LwADQdIBJEr3v5KRu5X2sr5Y5hK5uNQtipzjmP5xMw
1+muqCK/xwp1gXSgAcdTXEcQ7mIpOw0LpFbTTHi94yh3DDlMhqiB5G1xiBZxFRZ0x/rEc80dM7Y0
bFQ/Y+htY8ciGyGyQbzeh9TF0FkQoQmVyeIgBbnmcXA9Jn5ZPOpi6AArPBPhQkphgHrgVa3UnAcx
fe91DF0IXRHzarE0wGGPSnUchontbNawk9/ojpWGmZyKOAxEzoUaIKK8Po6l9SOHpS6Grkx4GSxE
i7yxpDnpbO4uINLoB0WlLowusCvqKe0kclFDYWSo0puAT+roty6Oea51OGpF++wwt0ysJ0LMhwGi
On5JRZo4Ny34/uexYV126JbxVjZ9Xk+93yXuQulstUIRpUQg1cxa7DrdQU65iV/xvOef/5tr1kXS
Qdh93tDhByNSS78DamwPLWdPl+hC6TaQ9KhlHgS6llq7h1hSD/XeqYPKsdeeuli6rLXouZBxhkar
HsK9aVNM1/0KXeu93/jOdaqTruj4SLNDazbUbO+BAnhl5r9Stb9ZdxdLx5ItAjlVWeWRDehyHYo2
RoNRCS7PBzAl9bmAYjvd8XGBBmmC7JrZQ0olXsCQOST2NOosHI/bEJXka8tjsuRFSgX3ysBDXOP5
PdlkM91oGquj4Ot0Aic/OIUD6VdXoy7wBlJLdGvkDFkn01ZAWcwPaKlcX1nXF46zCyBcgzECZch8
fulNc3kJBcdUQ1Fcqu7gdySctemEgPhBVPHDOlUJfKutIQVRxUlEv/t9wPFT0GbSG1TE9VH3FaSf
U2YgcsC8kuTURRAi2oyhyNHqY3SmLDMQ7Nm3jHtBw6Gv+PzYDHxhqpgx+KJBO90oNu76hvjBE2ns
BBKs0mjk150+kjoa9lRG9Q75vW9+i+68BM66LNAeLObjAqkVKDJB+mVcWeh3Jbv4wRIw2ZAFFIKj
AAVBWWcqbxtO549ec3fhg1BXGmiUjPMRMu9qzyS0mYSN/RbGpSsTk4l61JDnI+g1yV3XrvIbVHm4
XwTnYge3uDLjrBd17DpI24J0G2Q2DDLIfgvjXMnajKDM4hYKIjzadpDnnvbQn3vwG9w57LHUSUBH
TH1rQddiZvsznCq/XkLqMn1B7KMdi4bqIzTbpkNmqmoPp+ZXvKcu9mtDG0Tx35ydW5OkOJqm/0pb
XQ8zgECHtem+ANzDPc4ZGRl5uMHyEAUIBEISCPHr9/Wa3p2p2K6qtbQus7aqzCDcAUnf4f3ep1sR
WDGdfrOKvFctUFc/dVveSr9ahdrjpIET6WITF5tOa0DLIKP786tfNtl/cWi+VX8NST+n/UT4kdZD
vj62i+rUMdB0MMfMaJyCf/5r/uAQIW9C6HoldZZIfIk85VG1pnlTjtvyc0ow8tbvS7c1c47i6k0D
ljIgXZB/TOHHz330N8dTL7GmoGc0B3B+QgnIs6ysqn/u9HirBBM6i50CcfGw9gtoiS3wzDAw3n/u
+CBvlmtQSDd2483BtftwTGz/YU9k/pOP9M1y3QHQ2ifUeg4aMPZSDZssIUn9Odk/uvq/P/lGFpgD
VVofIhWZUoLVUxAdfs65CRPQv796nYHzlkiqD52b23LP1VByONdXP/XGvNWALUlAydk0/CjluD/v
AES9yHj8Kyv5P1hKb1VgNfE+WSBWPuQmwTzK5dTWafJXNcI/uvqbhZolCcrVwIgdM+CvxRp9n4bx
+eduy6WW9z/kBH2SJjX4GewIny/QaNcd6kTXbvbTz13+zTpNBvDf99iIY67VCAGuBKLwlibDyH9u
rb61+9KWLwiFtTgKmwCjlV4P8U+GM2/FXzDiml1IcWmV4fi76CHAVP252/JmmYLP0NUtm8Vxv1gf
9T7Jyqzl/ucOp7d0ZxkPrdvDlFVw4TqNRj/G9OfcBMlbp684h6iIKJVVFPIHOUa32di9+6l78v9I
vmAj1BoyZlVKF5VcZXrA3HXr1fLh567/Jskd9YUUukzsCK7zBgv1zGbXl1G9v/ITvCzGf3Fov9Vz
dRHontzX9Kh0ZE+uXld1b1ncNAfMqbL63Kjdt3cO/M6/Tq5/y/f+1S99s3xZSOtxlfOA3G/z41Ym
gEGm+tD3WHXDsa23fijmSQFXA+L9jLN9kwG0u/M0aNqqIxJr2YN1uPdrOIMWCeAqIR6yuzGGpLUv
iAy79wWCHD3f9jTh+m61tU/oeYtAo+4Lsw8N+NTgmXekKYxjGoHQRPHoilzMU/NVG/CNkyLrWafO
ZO9h91wFJPQMANF59absA5Hbe1jIAQFZ5D0QP7D5DkD5gngqlohmhQiwhu9Pie4prO8VapYOgNPO
gG4PB1Q2jR90qpANSCb5r0or/GezzNlaUch9AZjEHerLdfVpd7WHBdRzxMjEjl8nFG3ZUmwmiRNf
5Jw27ecR2EXxXTULQD8Y5Nwnowq4fcnw6SLSO+ldgdg5wjTKlt53YE1XDIOT9WFHyyY9RGkN1mcN
3rMUJfCwIVdVuu55fJPwlYKOmi+7wlzYPIUTKAFjyahe6Z2Ml45XcUc8ATiUzojCOIi8XMEAt9jm
hs4j9JtyapvKCSTNrESFZGsmfLJ5NKzgKWWYG1m7qzpjCBuxl1C1XONpTS1w4ByRHYiY0aCqRY3p
l9kp4FHDvrHvS7cHctRmyvv73aScvrRzytg9cTUht3vd8qWphh0zKtlR+CWBI8JO2TLcYUKD43np
rtP4cE28i2Y5xnA1RjSmgEbuT4GSzX+bueqmppxWFIPPDBNI4jnZGMwIy2HMQBJreHSxgRyWYfQR
plh2iLbgoMMA6DsEPMtpOoNAKPb0TPuRt0VPe3EE83EsJ7p5ZVCSCJFdL5Hlam9i8OoP3mCPuqdT
s8jnbUsbQH3NMqXLUZLcbuXUtFkKl9g2DBXympZ/5o6M043YdhSB2jxeNlN47VDMLwTPWYoIyjlC
CKiNhMh3Sc8NuKis7rebMfUJqtqxg7fajjazWxvMbsXBUmA/WwqTtXhYvqVDhJkZs7JMv2e5SnjV
1jaX35D78AGLRmXTWlmZT/a+X+KGPkOeNaujDAxjQmKKp/x6z6O0v01a3+8/unGYFkzMmGjK7mcs
2vYw6jakZ60SOX9sI8XjFNtb39C8YCoT+j52rk++ZbKueQDfV6jmyvt1za9j02XTJ+lpyEt43seY
Rm88SQSsnXM6fK/BvgQ7uJ97/i0ndNYfMV2+tyW6Szi7MOcxhTuo+gBSnUGizb5P0qz7WaU6hOd+
j5Ok1C1W0neZ4TU/NX263zsRN0dwLLl84GZh9BDzTrdPc99u+6PHgAdQvUMK3wBeXZyI6dl6N46/
9ujctDeSziRcTQBn1ldzKhJzs8wghpYyI1n6mdM0Ez8S39f3GCGPrtFG2r9jtEUV0udN1cAgKKq2
buf+GgyJdT/BPIh8GkSXiUoPmHR8x0I7jPdJA8b2GVDvJRyiuZXbSQQT0ytGtz7+GNO6r5/aWTS6
BKg7gieijIXFEI2iAPmtuwXD18a7i89EUz18ALijnh4WICnbYwxYNqscoNrYO33OTXuEfjoxd7NY
6XfwvfFi16i7+Yd2iw22knba/IHmkzNNFaNbtd70EgbHx7pZgLbdIrY2zy23QIcDzavBq60jQ7+1
rQB7vhlt72TBx6SOwR7KyHa2g7Kucj6No8rZMU2Kcdi9/kycwCeo8rhJYGe44VN0UWNNIbfIjofx
YslTwNBu7+9nj8G0Q66N/5LGAYDfCOkdfDmBgqB3CJeaVxDSYV4shzZVJVU+nz6GGXxGGBwpBcuz
gvT73p29w5TscwCfztRFOzu2Yb/ftZ+mAiD6BUxUVLxX+90vK8lfgOAwOBB6uNWIpwFXuTxI7RZz
AMQRnc7D6FOVF5j9HIEAFokAJHZtyBCKJnF8v/GbbVC12ECWAne3DogRMcnWtmcLylpU7KbrovcU
bN20ajO6RJWN10RULOw7aLDxTuRpdbsXV4uaIoDHfVqHWwJ412OcWNm9RxU5DX3RDYMTR7jGN+5a
9Mhg7gPqShws7A7nnavrfIbOOwPIVjWx7MtpN4krM+CcI8wtGFt3HtNzu02eXNwrDGOMmXOP3Raz
9DShZSzvJzjddXOxhgwAHfiKA0NuRHJOiLDuIbdzNH5Nu40Pt3QgFu/Y2Kqh/UEGvuNNULBss4ep
4d16xDfb5CFXfWY/0H5t62vbdJKcMURLh7vFpGBuHbAdDbQCKonUrzuskuFpbkGsP9mpaxpomzGB
hXcEUFl53UoX9ElLRaAZTqEhjg9Wg3pYrC6M6Xv8Tv6yJq3bvgwwjcdMukjbKStn2C82ZYT9qS63
Wm/vZUodOXGhMeuSjyPEqmo1PCqDXhyQcmbyGwZIVpaUaCjw9hEfN88fNh+a7gTIe4bOUVf30fKs
1D6N15DutjuionHfvuPUsGMPj9Q4Tt5dOjUkLkk7s/1uB6taWezEe6jPXOLRw2iWAjh267Ehzw+g
X1hzjl0r3GlzVOSXk3tr4QnQ4DZaWziBVR7Dr67ZFzChOx/COyK2QRQAmXF6ZJnC/lb0xEvzELuE
z193YzXA14NbN8BlMxJv9xne/vaTtBsQNPiSZKofepTD/BPvcROv91SarRrJkrsTzv8IKODVpWo9
+J0x3yB4ctOOh2ma9bj6PlIfWBKcelxxz9brWUI/CKB613ZlJtvJfto0S/PPKmWBqwIOYfGocafI
0PwY4ZkaP8K1PhNfJziv9F/mYe5T5FcwRCSlkqlkJ8WcDYjf2pgDhjxHS8BROGw4PhDtwTKWRvnK
KguThilANsqib3CVD1kZ41CX532Z+2e24P0+9LEfaNkB0D6Xio3ZxzyFLqIkgdeyRC6aMRARJ7Zc
pQPL6VqQLVbzvW7nFiPHCew7j1rIYbojSvtoAI2cbV/lNLvtmCddtj4kY2zgv4s+q3jO+OiBzh5A
ynmc05Z84haUl8pmNUoBoJI7eh9GXbNjbKRPH9B/IuPT0DO73yRynCdsmBnWBmTxEKrxqx4mquau
VoPQW8mzrHkMUL5EoDh3an2yu58xEI2519SXsDGs+5KJpNMPvUWNCQTsZpgPJGCudjhiRC058JqM
Y2XiOsWT6NohucsWfSG5UnsJfjjUvi249HzN0wpk+DhZin7fwkfJB7gmgdiOqcVnjeE28tJYOt2a
cUHEVbaNjMpEwhUulNjd14J5StzHdIHtwamhXuO8Z1uMMJ1ggBew9ECyyJ07fIT43TKNjoGWTeeq
D+0yXvUblvrnPDZ+PaasHxKQSQwsz5KsI7wiA3SkhSXJfhQ4jLwrTF5Le79AOiXGUlHFhtve1uGB
hwsAdTc7ubGc9/GBg2Cz4RhFyFGZPcO274c1as49HXP3vAx1sj6NZklKNBrm9EsYar+WtW+zE8I1
UDN7TNFM6LoVZpPtqXUaxhoZ5qpx2JJy353QxQQYEq2cidNTg3jgo1eM3DSwUlIFFXK2ZZuktIFn
q05BSM8kvea+CT8yTP/IO0DXIfXdpd3F3Ryl5jH2sHhFCkTcLSju6Y7YCajyxzXSUJK7jZUUY+R3
aIpgWBvwUgI3cowh3wXD0w+Tj5pDn0raF0pt7mbtB/HQeDjoVz1e4zLfFl+mbd2dsiwTtwttwnWT
bMOX0KzyvSCDKbuYvhtyoz7kUoyiaGJtITtZhr6fiy3uhLdFg2g3HAPoceFE17R5ocmmr50MXFR4
nWmp9mXfjqOR+XWAfDH74CPO3jeDh2qhSt3IolOt2OqHosabyzEmH9r4R+fq4D7kOaWhWDu1cUg5
k9WHqrv4AZyHsO2wTeEmCRpk3Xm2INdvHZlk1dA1ia7XJMM0NsZKfXxt2qQW9zbarDuumPOPX3Y6
pLQUIVvdzZLpvPmCyFXNh9ylUXrSne6yW7mtoHMvzbgOhU+04S9kGXT8MJOF6ANsGsIISwJL2/MU
rWL4HLVgCcsyD13eVbGVrSuWvEMoKtzCutIMiFF8UZOIkKEIeVi67xvPyXy7btO6fwOUyiMcah3P
8XYPWFu5LiQGhuQBLjp1emX40Ml3W4Lc/zCNGVFHx7DvVMhoGnaeL/I7wO5VSh4wVCPzG+hnSVIl
YsvFOcHY1PZrh/kA9bBYx3VcBtGs7bWdLTDiBQxFOHqMu0yH8A6pMUuRBUOyud9YO1jsC+3IfHKn
FZbk+x7Jqv/c5704Z+BtI0FWnn1OLOmjLwpdSqTJ25QDgogidFvi7UCwVNTLit3dmmWrVtUY/pFi
pt+9cI+9/ZO1s0hllbM5wnlVj3m0vqd+l1tTRGnKSOFcbVQpajKk93bnW/g1w7j/8MN0mGY7cAmS
4FMY2k3AcCCfzCMYz3m/HcYV7q5XoovS6ZFilWFHjImZObandmMoFrYjxppPksStP5G+7WNVZbtB
CFAMlNIGNvAT8g9EfHIuw6ovsQgwLs6/k86Yxl+JvunNy2CjaT1OMnLibK1YcjyxXXhTzemwrV96
kWMWiba9sF+c7+f1qJtYRaXol+Smm5ualjO6ye42SJk1eCSswzCgRZW9NHqdEZTOFHYyL8sOl1wM
SM/17dSk85WvN/40kzQ4RAf5vuuHMAxDYYDrLDAU1iwEfDEup2PwPA9lA8Lpct6JRYLWioUV1vkp
0oVbnLfvWOJZ++sKtAk/7H0ctxX1l3O1aCwYE6caYfZtB2suvHUkUeS6lkCm3ugmTB8Fx02oiHNZ
MhRxB93Aix12GSFKDXF0te14r68QByTs2uEIkF+9J90VUoBEfJ5gcc7aMhdN3D3pNW9bWEIninZL
gZcsJyXHrhqQzUUYnNtZm3T3XPp4Lw0W/Ic+ydVhqDs6YqnVy/UUo4Jxh3oFyR/5uNH+2q9GfEMl
5hNCD5dSIFUoJOATGDHp05g29Rf4WciuahQ2xU6a/s65GJHZDoMRfx4Yb0u9BwBHoP+PTx0zZLib
HbHDnakXe7NoPcmvAES712jura22JcJjzDb20i/ZpbnTc5ztW+ZfKGIJVzX7jFgduia3FYNn6ohh
ZUELqX2D2ACtyhWwO76hXoud0KK+4+S9xzgCCIz8UunB4Ld56RGMFWkOBfoZpXRhb8nM5+iRMIj4
IApiY7OeV9o0bsBDWUJsMdFdy+6wxYRLdpCcdu+aGWz4Q4Ixh/nXbU37tYxaVK6+wKsBgFqTc5sd
xjYNKV7NLn1vOuQjV2GUtkglNlBdrIsBxa5Jl/Y7z5VNX4hf2rUMyibIdlg2rFshVz5En7suqb/x
S2hy4humzD8Eql9dP7gM4a6YEwSzKuuXkwAThJeCGvU65ViyBQeyowQWJM4Og8j4b8W/nuy4CYEf
4G9ZZ0hlAFU/binz7JNuIoH5407UqAxGQsEZyWpYFFQISpS/zuk0fR+GjSTY57JWji9wahOyTE3r
yUm6LPxA6tzsN2ZI61fVDrvIwf8Oa3qrWp/NH6I6pvlrAmRG/gOpZYvKiGzyWzGZHntH3IYybZLZ
PxpRM41RI/SWsoY28WMXUYpqNkKP+Cb3MBQ9itXQtNrcHpPDSle7FoNatvfwRE6yj9qI9V0UZfYj
r1nyAQIKt19NNaZFTtGExHgb1LYeaMZh6LvLVX/EPe9vxqSHrI1KALjhcZJN56kVYi5zPSpf6Kju
P2FSdyvmHFM+Wmee3phNR4+M+u2Oir3lx6mG9cJhyMN2NQMrcZXoIT5nwCRjzxuJfWlFk4cH3UyY
Hl5X+P0U+bzU7r1fYPH6BQYiSM5s8Fn7CaVhwgq6BtyH1EuJbUGQhEyIOBjmj3nsPrQbRZBIUEpo
GkQZMo9gD8v2qDKQweeHnDeom3jg1cEpYWbvrlId6xfYr8v+KeUThsA3EBieOnyQgnRropcS23Zw
vjCojZEH3bcsK4nGx/kwTbWfjnKuZVumGdP+20Xrep7GQambjbF9wO/oI/vUJ5kfHkjDPAK20JEj
5zqaTpBQMv8OpejxgG1iHI8mz6Wt0nYdEsjlAIY9TD7GJgJ/jGs8C5Qjap1PGum2h2h5DcE92aiV
aznmSzJcR9Gq9ivYj+0/ohzYpGIAGvKm2acNy6fmuB29jw+9yJZynp2/JlOCgLPtxpug2/wJ6uUZ
EwLwd0SdA0YNJGP1p2iHnPzIMSETPqDOtK04iGyc/HDcNCkDA6ffUR6ww6LH84gORfel3WerSjwp
DLzzvkVkjh1zWFXZzrWGfznMi8QdLNI4K4WnejlvUzbzKwYsN9Co9Up5V0Q5bA+PXpDLIozk2jSg
K87ImLD59JXcrfBnh6EMUaTT5gYsY/S7XhecnfVZGxc31QpH7RhKTJVmycuUIUKrVi9MW7JspZj1
cTT0Lx2FTU0Vw2+++zSgoJEValza9kO87dg9miiiyTVlicpLJdIhrSZUw9ZyGleUtgoMQW1NJTGF
Fj9kejb8HYAg3VoEuEDrwxLqfCpCumeIYIRO3PfIgKpQ5Bj1EO/AslnZVRu0Z98pvpT/aBGg0tvc
JgMrs4H16ePQ+BimyRpJQdtZpZ4CBvj7YyptrEKRY9h+RQGzHfcGibpDyQEv9YagENj0egbrWtj6
rp3ibj8nWbyNd0KjTltQTTz80nVrXuOcdO19utcjxD113I+nha9R+ogBO0axpgzZPfo/Y9BH8Bu9
OUIuplWJrkq+fBu9shEAibvj52hAOeVTPKjLE6JIfKrECC0xtYgETN0vqB/2JeYrnF0KeLEk6U1M
0xzJZe6i8dRBZ7F+82kQtqoprd2Vx37tK5Nr3R8GQvhcpSDSuL6YjQrtEdngIG7qDPZrEF8OFzwY
aGlTJdtObNe1ixkvMSfSiLyCE0OMBdXVCv1stEKn5pquG9kRszidnVAkmNCtnxHbFajDJn2BycJd
VjNeg+GYbUsyv7Iu74cIuUOSOQLeLUxMftW9GjDP1aND5nCYKsSJWRkNRlzRVKdhO/cJJ/wFntHK
3Xqk9pvGF+8ymSEG2cj0kLNu2D5G+DYiKtrEkWk5XtyskZCufF+z++WSQd/U0dRvCL6gl4XBVKib
5iGoxCJZMQuhWOBZj5oVK9FryZGtxlaJ8XsXkF1DIBeYil+NW6MZwQDLkTBNDuO2K2g1k7m2Ylr4
Q47No0GoyOX+o2/RjfgipZ/6Y9ZkY+RxdzUZwWKmpnuXIdzHWk4Fy/KjRmg0v7Y6yz0vXCLg1uxZ
tvDnBPW5DvgX1P/dN2GypX/R0TJFj1ODhs+79ZKowrEg8CEt2TrD1xhjc9oM51ah74WXJNPkaBgS
H3oAR3GZbzAB2OS+3NFDmpDpdoZ1rIpz6viN1+gk3SK65vQWYVFm34+D7M01a4ifztECVvoXEsd1
XNJLzHZcJhUtxcBSH91OMdyp3kWLXTrscbChLwUi4/EQFsXNfWcdBl1UHrP1eR+gCyx5bNHk6cgw
wmLGNJH7zqnV9TPxFpv/CL6BXPfraAe+GyErfA2Hs9cNCYingLguE7a55RSmUZCTQZXdXw093eMX
VBXz/Lrr0QksdawgADhg8DQ2vMK7uaO2damoRcfZpOlSEqpkVGDN3VFtQ4ZeYw57jGOcQFo9H7so
Qb+HjmjxhGIAYo0XYd50XpmW5dnJbYvYTzrboniEpVvqF4GaXgNW2rSIRN7mibH2JbdwVX9lTbao
WwS2HTsOebuI996jNVMNDZcNphMhSHvsxnGgN3UzjP17z3FjbkLKe3sdL0Dq3K34rCmI5mHPH+XC
VHO9SSP6D0j0unot4wXR8lzJiSuUrTN4tHVxuWAx66iE9wcNukIfkHFx7CEHvFgYs89wMIxtUgoB
A0x1UGgF2eWMAMzgxjomtXnEOT2i8AwxDlppiN1EeE9w2zFcJfK23z+ge1JvxxUr+Sj2nd0iiabR
TRrVAoEdjeFel17aeDy9iiWl+qqXbM5v92HCiG6Shsl99t0iYFrRL7AOObpGb6EtEk9zhh5nCtFV
PFu+lhSFDftFrbCsf5xgu2DT48XqNUFNY8sBd+dmF6sshfK+r4IyF6Kcs/Q+N3U2njMMl/vTPOqF
VM0a9HibWvjUoEQao986BcOWY4ciflJENkmiI3qUrqsG3giknXq2GhESUR35ujFQ5G/qvZHbEywZ
Mofae1ub/QcZc9J80/0UD+eYYNTxHKPqO99hvNy45wGW1IhtxjzbbpMssuHXMOdS34bQRBYFvi3l
5S4QjhSoLy/orXTWQuw3u+xuiZX1pQsAh54NPoKslj1N+xLaeIqeeZZdNKorPwrIg++HFWTgD7Hv
G3tn3J6M1wzYu/3ytFmNWQfhAsjwlmXyG8p8EalkziNtYdaKfKa0I952dUBk3eOAxEZ6SfO90f5B
RGYlZYiixGCx8NlgXELnlzsoNMpViCRMLh4sW4cIc+kd634sl/PxB1swZw97g7w5z5MISRFjvxve
E2NSh7XX5Gp2heYWg/4oMQEUxdq4iyuS5hHkNaSZ6/u0Zc4fsY3CC3Edxm59dXLT2+20M5V/NNtC
MyQvs1yuQ2D79pEzpdeHi4cjOVm11IWC2c1cIBptLsVyva04c9HAfOQhCHZtW0wa3KNRouDBgNh4
R2lr7lG1ygGuzHL3FYOrMy8wWJT6w0Z1j6qdmdsnyCQSREQroMxPEspGnItgbMC7Uay8Fi9MxwJy
7TFGP2u9GmszT67oMO+XFROHjoCU6H2b5RWFpAbFWxRsYvcV1Yq9iwrqEL7KIscu61BDHCZMexQw
qUfeedwwHgo40LhltP2MCeuwmGLxgNjMV2p1eSdLP8M/HHFoTLc8qQxpIeWo/s0aB3veKOdX6FQR
V8ZQBNki4m6uSxglkw8EPx3drL5t9Fm0l9pvg/R705c9M6sfptSaA6oF+wKlclRH53+rly3egs2G
E4y6t62KqZyWYg9t/oCG1bhUtMbw988pmN46C9GQjWoa7XCIxSeZPdP15xTqbw2F8oGsaNfguqR7
4ihadPlPjtAkb1SdE9waRd0xdsQxGaOIJNb4zmK3tqc/Vy/9gWEVWga/F+qhFJY6KNLQmYiw/uZ2
6tyN8tEED0RrNApO6SqBBWBiTh83i9ItEiwZxeUUbXhOf/4hLqqif6U2eqP/bNCi2brIsOMEmulQ
dZgMuYN4cC4Rr6H9iF4c/wungT8SU73RgprZ4lWDpvgIQ4CZvXdhqpdKN4hzK4+TCe6kcCQZEJVu
YfyLO/wHIsu37kQS+jCcJml+pBxMDgfbmcOMWvNffKE/uvob9ZkG0c+yVuRQjqhvvUlePNf1X8jF
/+jab+ShCNNnpZs6PwZgP4rWhHO3DOQnL/5GYeaSxI3TQvMjatAHNFK7ok5QefzzF+qPPvkbeWi9
rZ3LRUePTRxZnOlrXSQtTv+fu/rlt/4PbWvaawJ1EO5Luit48zoByuQ+vf/zi//BG/rWmoiaRHm9
SbwuLRPpD4uaki9jGlJwhXiqdKEXqLFPmBTK9U/h+chbP5uWN57BRig/Aoeaf8xmY+9lgvLqn3+h
3zbXf7G637rZMBkIykJNdlRctKhAizF4NFfwv9eQOPqSIfLGfxmzZKRXnZbPcu+eE7xp+am23dIi
V2naA+iMP7aVAN1cOIaQ7L8+3X983/5X8zo9/tfnsP/4T/z790kj2W9a9+Zf//E8Kfzzn5ef+b9/
5/c/8Y+r1+n+q3q1b//S734G1/3n762+uq+/+5cD4nIX3i2vJjy92mVwv10fn/DyN/9///Bvr79d
5Tno17//8vWH6sYKSY/pvrtf/vlH5x9//wXqQrRJLtMp//E/f8k//8blW/z9l+p1aLt//UOvX637
+y+M/TuBb1WSU47Y/vL/v/zNv/72J/TfIcCAxQ9LRAqGGMemPYJ82v79l5T/O8oQBBKZRKB+gXrB
L3+z0/LPP8riFD8VU5IkuGL6y//5cL97Rv/9zP42Lupx6kZn//7LbwZa//1K4cvxlKUiyxKKKUs0
Qt5s592YQ5wm0BbpDCrZEK3MaOiujf/Urm59gFDweYlM9DQSh5AYDW99A4ELFA3Qp/YISeXwWfVm
/YqoqjvXvQAQfKA5erpiKVBScMcOgrF3G423J1y+RfDn9WODIu8rcpBvfrHQO+4CEDqJyhedsulR
C18/zyn6o8gF7UcyZerrxGGMHaGoXNi67x/DlD/107DewCASUitC/QuRND7Ecq+LBk2aSkBw8X6a
xCeU17Iy8VBkjv28HWgU+at4hI5wS9OuslYjaAvz+1iR9iLUnTA14cST3qK+WhY3v88ULLRtg1i8
8UCQc+PyE1Qs8xX6Hf4jDldIbtJ6+BXV8/F2JU37jVM1ozxh3bdl5PZZLqmCa38NdURGMcebrYR1
lVRblKA/9b+pO7PdyJUsy34RAzSSRhpfSfrsGkOhkOKFkGLgPNM4fX0vz7yJutmNaqCARqH6JZFA
phSS3N14bO+194nFjyJHAmfHueZ6pfzrLCBmQirDG24B+B0/2ACSUQHjSycLQGfN90Z4fmDG7QxA
Rsa0CfpJ3smRxRvB6hXqVRnlcEk7UTFnqK2diFQ3lPL8403+//rDfpf9BBJt/oz/+6f93w6I/5+O
BEhq7jy3aNB/fia8/C4/6uSj/vi3c+E/vvKfB4MSX2zL4jV3XL6fZd4yO38dDN4Xy5YeF2ifI0j+
49P/18Eg/C++cD2fl1taREJvpUN/HQxCflGcGD6ejlI2GpH7XzoY/o+TATqL1KalPMGxAKXp//sz
OiuI+Ng5N53BHJ9dkWfHaqQNqkmk3vtGNf/O1cpyVNf3j7xZ4VeWcthPqWsf3a2yUWpzLLHJdUxQ
KjHLp8Gdx71Ajz2NPVpXWhbLPduK3DtbYcQjUzT7UcXyV08D1H4jH+XxLdvxc8hic4DEdoQJP5K5
b64U6evY1sNd1/RNH2lrzGJIYlNdvGVTFOfM+IRLIv3ymFO6EFBr34dkDo0JcG3+GWdbv1trhX4/
T28unFaI7QAkwp8j2yD4POeIsZ/tO2KQRVj1Tn+ieTb/VleAwiFwBll8LGofasRRRh3WflI9FIvj
NPCuoq2j1PDlnWaXdn2AEJTf6t6c3n1TccAuSIcnqKj4xRyzpQwssyjWIOvc9H4t+rkJtLG4STCm
dvYwluX02tcyK3bAA+ZlMblwAnPci1VMxwyp9GfD+rsfhs09OoA4GB7GYjHSaK5LPMVSyNcYEuYK
I228pOi5b0ZTFzBLtjedboz/08S2qF1vJ8kvtbK/PUy4qvKDl5DnBT+7TutANqo/NqjvV5OtBmnA
y1x/uhoNZEhNp4cyMS1+SOV7QAIpLepmLh6syo/rsPDWNWJTQlIGivBxmEgXR8pVTR2soj85cFrR
NMznxhvMnaUtFItkTp81NxnaiZJJgNhv9bViWXscZnqbP7hy5Od59eY73lA6jwMXq+ngIkbtktLz
orT3I+6RTVSYONP+1rtHz6iy13Zoxogdat1FGE35bBheFVZq6R48XPhDUzUrpONsP6Q+tFOJDHgk
6WJeeEXjk0Uj+R7lxvzRbdt2Tp0kfmyQ3u/WnDcq2KP3ObIdb2+CHJ2KxkqPtMe/dN0c4sjQXJzr
9LEoFpghv2+/tbCD+0Qr5yMTer2Q32A5g903e9ctA5uyke+m2b5XabYGqKr4Ld30OviTTqjdGGtn
5/ky+1ot8xGU6rG1RKhTeXbbfeJtc8AOjjnQRBSCTrf6KOuxbcntWoUXtECkL3wOvLsBTuDZL6RL
cwq887lMjfht8Ez14ox5U0QNnqM63GACUgQLAhqYS7l+tTqzO8KUyXuTP98QLMAlAUsoslPl263B
PgnXeaW+0LmXrH86ir4rvWCtmhhrfc7+mFPZ7vu5qmHYlnj4xE9Jbh9KyD+vRp/JR+xMlA5ImYD3
yfqYOln65HS0Ynl5bCLNbyp5bMlcWNE6JtnzotTahvOaVjvbd6f3Nsvb+4w1fOfVrOU9ohPUyWxP
G9+p7KJy0uKZOcc7qo0+jQCrcXpR/mJ905U3H/Fz10+/zKoX1lQ3/dFyc+eT93f2J3VZCRsoKdCe
6tVKP0RcOmXYLWqqqVfyvIfc6VDWzYoshw1l2+2LJufWn3RjHVQyTg+tLuqHtMjtl6myknN866Qs
qsG+9kZn8UNWtfuYZloQSXE7sUOmTJyDNnXygC8gnqY+cQ/5nI3XMW1B9nkL86rGtvU6NMN4LYvB
3sVi647KdjNgyFLdU+a7pUGJYlwFSF3mxY1bcfTZZXeRYsqvQhUFtzopaZvtDSFeDOnOw85zS4Mp
Snj3XjFWT5ig5rNjLZSLtsyP6bndZu9bUlamHWpuCD/nrdmgRs0h9MwW1qeHona1OufdKvnM31DP
wF+mfnezeg5cw7phV2QqRRMr0+Ps1/dm3o8GnIg0otZecgibURwXJaonNx9ZRsIHd4cjmB16/gMx
equ/DhO+wzhkAyCm/zDlWXJXLJX6WZB0upuTuNgLq9nOHebQJUGnPyIJmp/F1hV30yQXekwx4dJK
ehdYR15DK3Gv1EIVEZiODjmL6ku9rrgajdTzzquqTzGUza4URn+0ndr9bqQdSoT+nhOmOvDRT0+i
cHfEc2igy4vpl9Nkv3OE6p07GGuI05WFU0MUq7S7c2Y43UFq6ZxqkT1YRLUiSTPikzBq77huSX1K
jPhsJr10A3I05m4sDRJOWGApt/ukf7JixJcoSYx21ztWtNXly1Z5y75Cet/T1/FW4n6cynYUEbbD
Z25ACJ4t50aDtb4uojlhPVhg3tjCMXamZzZt5ncLYOReFe14jxNz8ZT8oZf2iNLXBvWAZj0sgw7J
V4l71VjI5jc/tkmVuQVu76fkJfxbpNHT+YV2eKUASG6z/iLj8pClJv8VxrQ6sNL73BexzsNYrt0a
banJfhmh6DoM6Gxuj1NfflRrWZ3d0tXvEK+DT85ize7ydUS6TUVnhrVtdM8dQudh62YFtuXgtHvT
oi9VmhTV3qrIY2DM2JSyGvbvakymbMcjXhY7px1ThhkjKcN21hnsTjvwHKCpF797heAdaDXK3Z81
GtqDB672kBUs8GELgyJLxkMMH5Z0lG3dNY164NeCEIXtyF/swYRjjX3AsFDE8/Iax+kvymfn9026
AGHjHZF4vS+GLv/gQOyeceazoBllhfi8kHyqbWqJzDyxnqDAt3cj6cxd4pXLObd7H1qn3LrQpOGB
7RX9fOepQn4OVhH/SPiHbzmKZad82wVXNbx9b7f9t8abavhh0IHBG86wQfqxzePktZCsmyLtKP8Q
sCvf5slpIYU3yElV1lV2LMekP2LVwlBObd8qfvnJxNV36keeATNr34rpXkm1nS0Gstds84rzAiF6
7iyVROiN5qmt5MgDycNamuqGbkErU6e0528l/XH7aXXSPCqM5ciWW7wfYLeSCP/6UKQSn6gAc8IN
Rj+PPDl3YWv3kTXIyDPnOFRL3elA0e+i5/637czMcw1vxWJxd5YJ6s5BHFXjDI3oGpFrrU8UZNjn
ppmdU9Gu3NyquPmg0rQNB8DVUA5Ufe1Ube7bMWt4wlhjkPdKPbmbIa5J3M0kRuEM6pnQeAZMum/L
uo2muA9lZlv3yaQvlrX+EWIgzTfxmFpCybT/S5fDztkkuROLUeveLxpnXydzdxkRTQ/GxiamYeap
4vdieoHRHL+tji7DhcVXey6A90iofeD5kHFm6uZRPBHBGebE3hWx4QarQ/KZhRpLGrIf/p0vmq5Z
5W2fvdqWXZyb+Z7FsfXVxCL5zt9bYc+7ui4winA827QgJYSqdyRRmZ692POe2olneaxbk3tjXDxY
0ivv13iLnwiKqWtl1sV1Sg1A1LQt5COfUNYTtUAWV+4h1VOdWPL3Bl8TOmNcoxlY4l5qyz3rvpS/
/TT271ztqyCbU/I4fdddpOkCoeUo5++GqMY7js3y1G3FHEFx/kz05B+9Oi+jxMn1PXykesdcG3c1
FdRkkXjQMxexleauXbuKyT+zs1NTJaQ9UtmunB5jRvxjqbGXGgA5FiKfDOmtz3EOIR5R6XluMi+O
aqC9s70U6ytLpeuHpUrfGvYQP3K3Lt5nU3VH22uzaC1sNrQxg69J3u29zBW7qoeNYbV4c997OU+6
Nk52LXPTrjY5nDXBJyI9hfzOKouGP7Oij1dz4DE/Nm8pNMMPvy6Ls4CRDmQ/OFcFrwFtlNzM3AHd
7SkhmRhW2qVrqCUfc9tmRbSP516sLP5lOs32g8dzHAwruTRe980l4PhdGTFTZuWakWYggrQFdCwO
lT+2J1GVH8vE+laeqIsZ2Iy8YAYav5G8mWniSHPNGgPVzj/J++qXAjfxnPczFHk+TSd0LXH2Fl3u
WBxuRktFfH0G6vch24O2K/OTV/4iWeT/SlRrn3IsNsUIywbduex/rka6XkrYyiFwshLIB4D2EFfQ
Wqrh1ldvM38+Z3YecMXWw5YW/eOsa0qt3Kb9NHnD3OtCTKfcglPLCLgEXH0YJzrfwBpfxzsA8pQ9
Edn6NY6zgXkhLz8K4W/8Km25q+ot/cllzDpNVEBEeWw4weSPkInGNj8X08by4K62xXsNmPGj8ny9
7zKzPcplZQFX5petH25LxaVnVOKxV0B08TQQnymQaFioVuwVqcob7tW4Gze5KQvbgddLen7xttbL
zDtrdg+NUaPQxvrONohpdjxSGmkFroZFmjL1x2fgn0b/utQ+378F1JvqLfIz6pdxJM+F25u7yqt+
d/NyhHp9YS0030ZMGaiCbQRFWa/HQXnJfnX67jTZzXgq+C3fO7OZPrZJ9Dvfi91XQ1r+lWRd/NNg
ZgKop88qnLCMD7w8zs6vJu+OcrT26o5O9U6jiGY2kvIEItwdtG2Q4vHXxcBusDLz6G8SKa0WxnLt
KFACYcoq/2DZqQzSuaHJdl3gdmMM1p+mvxIYJ13LyuYy9n74ruF6gWEqEBpGpF3rrz6Lw7byrcN6
OKy3fAX82vLhEpTj2VHU4rGEyuUsq7enBBjwXMhteTKGgTSFnEFxEVqtXVx422lDqXj2K7//oHgy
OwAUtm8QnRlH/GCfbkb8zi3m/k6NlqmDbmzdnR6FGVlx1zyN0HMGE8sEQ7Yl04tRuzOaO9Vid8Q9
3d2sV7sJCniQ93Jgz603WH+yovbPTprGSbBCQD4izJlsAbSzVw6OMewxn9MI01ffLd5mnfvYsoiX
rtWblgWT6+aVNFtplxhD2dzHCHr3ZU/2KCBKsEZNCo7GFkRreCy8sX1guIY+oz1/Pfa5xVHT8RB9
TpquxzZNZXlq3YoAlNj6r3nLDIu1UlTHChU48rnFXOFtgYfLevjmmgY97bbnhetQJK9Orgiq97T/
UeE95ae5dq1ADvN2rhjPzl23zW8TO69efKbQJ23NPE223H6FkM3O/iTyz8TTPIviebuXmyRhUrRm
cu2dXNzVA3mrFH8ikHkpTyZwE0AxiwybsMld+TE5Bg6ZX9jmR+XeUoi8jst3p5g8tJbcJ9DnjQ6N
g3Ag+gKIJHZ2o7jtdrGx7dE92zue4+17SlTxdQJsoZrQ4WKgsDlWVkk+2MpR31yv8M6ql0sg9CSj
2bCqexroGLFy5O0u8PJsehPe6EbSzNOH2FnIjwzixo2zC+R9EzHxn8E0g7FV5YX+b6bOLPeawNBY
cB6o7C31mPDSqo92RgFJc4PNFUu2N1fu4PweIrQ6N5gsYjmx4nQtZqMYwvqmPYiKV0mMPqgAhQDf
7NLszk3BVopdvY3up+Fwv1gglxPUbdfNWMPWVbCsooUAy2gs4LdmvDXc5WsW5+Vd5kh+WAueQy6O
/VcL/3+b/vs/0O3BB3H+r7Lu80eOo5N+1H+Xdf/6qr+8HvXF8lBnHe5g0rdv9c7/VHRd/wukvWe5
kk1tLv3IGJ5/Kbq2+UUIFjoqnxA8xs7tf/qX1WN/MR0HSRd92FTCZFn0f8HqUa6FYvt3r4fGIN8z
XYV87NkedtS/K7qNia9RG+OwNwn73faeLAy3VilJ5gJMuqcafBz6f5kG9+DnOUnvjr0AjNRGQWFK
T9IgQL9QF4udOECzi311O7/IuBnCOIYwtO0GySjrLsx1ZemrXy177eX2RE+BB5e79jbML8sWN5rH
pDGHOnNiEs1z30cZIsgp9TFkdlpX3FLcNS/et2xZ5kjY9M/uFIwkBSFNxXIls46TKwqM+8mdgx4z
z58Py+Srx41jjwigMnZVuxVstSuaXdvp4nmy2u7nRLr+g0cyHy+zjN3PqhjrN0snKFGrRUjnH3JN
uk+cIfk1mV7+veRp3wWdaU1E2GfclYM3VctXjgB9oOKwt66m1+n3dW0pat7W5Z1jZsGa5Si6z4iP
mlFVi3wK3Hrc6AaxrNSMytEgjeHmSUepU8VWWvreBWNUAhL1UPWCbPgqtP/ewq8nHyab3Lh8NOxj
2BGCQgfsnL6/dx0hqccg+RqMcyqApP3aOA+DXY5800lvkUFjg31R0zqwHKluGnFqRN0zotf6O9ZW
jvQ8jgO/QFE6bWAufbXv8jr/JPtSXLfcaR+pJ3N+pUIs38hm8eAF+kZ/npeuPrfFRk6EnAD3DdZS
v1YDWz+mTTXkFqX2ECvXriHVtGn5mupkfO26luxot/mZH3Sb0zwLl2l6x0+wvE7zyOOv7dKngsh+
vyfB6B/TbBwORK+TtzxZPIn+JzNPRVmtFztSnt6+A7RN/dnFBQfmz/DT9po50zoazpR/yGEiaUGp
QGJfhNfWPYO2yXorhHOkStM0X9gPkyNMKWhMnMq8m8IWNS0OxtXT9OGtanjVruttoS7n5T1n+Lvm
GdMeEyEhph03pooSJJ+an3AoXDQV0TOJHeaq6btDPOe3sGNHYjYywX0PxH/1dagc60kPs/pW5Gxz
8IuUf9Wood9Dn2zDY5yPdvlMTgEXAA70iCtgP4p0Gy/LZKb9oRxqWQVcyer3mojwxYM5MCLR9O7P
Fi48EnWljD3w9HjOYsat0Fw4+Hs8j51fN+67n+RCBZXIRBc22kjaiGibP4MjUaXNroz+pCBK833T
p1TGNKYew3kz7JXs7pg8OywpZlhKc//NnLPuO2VW6tOdlHPx5gmp0zT45vm8FqHTqO+aobYMiUlQ
LT4K58OTmWs+JE7CBFWVM+0qhPD1Q8fwv0YF5sy5nxzS2xvgZL63+1a/ySYdPtM8Qc4uScKXh55z
IN9bxabtI/MXYCB6Mf9ybE62DmK38NJL1yazDLnfMfekbDaaSHz7LdcDQGtzlxWkLplS2/mOlh1H
RADt/UhuW8Rp0MTEtymJGVckhVuLOTeb7RazN7KPAmQvPlp+Wv5aOy32uZ/Y15pPOOtQzSH92btu
c+95rcTwMTdCP5ontBXbzs9eVxSqrJ7rXJYNwPs+YbT8YWwQm3ntIGJSd8EFME++8Y6CcGZq3cV1
v+EISHN9L/Ra3neJMmemyM7xQCIT6yBBf/yd9Kafee8sBy9haeqarhXhs6VYIp0LYnbglpN7TUp3
+8phIysudSr+ULmh7q2EN8Te9TpQ+aQt3rKVxS0kx5SHi1NWxvfOXPQ9Fwjzj55T+ESVA80wKd9E
fT7fV9O0ml+j3fnMeF1mmQclbt4z/HVOfhc73djTqrp6B4cEc7+bHYlIPNYb4lnPle3oAcu8qFgQ
BRIM1EGl+aQ4tNzXu4Ew4sWW2Y9kFNXRLjNwFavVH+Wi268aySqEGEaUghz/iixQ0yLsdN4U0sDj
Icj5pbXT6zZ9SB8y4Jgtdv3oF4TCadBbp5OoR8lltdveRrqM2p1oZrUTuDL1sY9HJ/tqOtUi+f/G
2Ws3ALEHOlXl3udxfyoWixhY4VCSxUBITEjHrffQwNn8uIWTHq1VNHu7W/RrmSwqe6zSEXlitPAz
Ahvy/EdOBu0IILGgn89t9ovbXxqmWd8o4gCdv9CFRbzxJTH09Aej0KoiWVXdD9k7BMDGYSDgE+eJ
Dh2jakZ6GWI5EST3CHNOwOUBGW1FGHuLH0FdN3PnZXEyRQrYvwgcQ7jfB9d1eHBzeTc3ilZw6Qjb
+THZZN9bLmS4Cd/rKQXx0SmSv5p2bazkOS5G/Q72N0NX0LKSBg4kc0nBARdChEOvvt5WVz+Mnfus
S2+J6CP63iQ3eyQh1Ej/CGpxJuNLZvfknpfB+bWkuXmC1FChJdsuHKd2jZw1+1GA7QRx5/2WS/aJ
C2IcRFY20RgnlQ71kKHDyWRxvo8FqY5d03ISo/kMPvnKxpntE+JbAR3tdHl7osc3pTzMoC0gtIn3
T1FSrnYXIqzqbb/0qsckTtWvpumalGKUUbymrTK2oMWZlce5KNVyv/H2+UVuh1DxPDHqOGlZjahy
Q3PFLVsh3838WNDisLMm7rs6hUrRy8jtng/EEHEDzE/0VZm7lDTccyFFuZdTXCLp+cXPiozoH4Xu
8l4qmxTstg6fRkfgr9hcJ4tmYrlEivAH7kksuUHtz7XY4fFtOZR3XbgknxvD+OakWUmAdZ6yJlSF
RgMl8TVt952CTN2xvJSmsKoFM2EPEinkHX7Scmozw77vxLTRp7Jwl9w1QttvlodNdfJJO/9WXWwF
FVUrvHdUW56qavBt9A6Y5j09H+ph20oEqa3u/bt5a/2rOVrrGo4C3AzV1D7LvjeKIJ7S8bO1RmA4
qljWH6bFEkJg+dH2Q22ojdMiialzrl3B/Xw0NXMowvV2qFYZL1HBX/lOUMtAW1xhe27AlqtzUfVx
2FqNosratYZXhqiN7K8vrJ9Dt/ZvmijQuaykSqPaQn+mIAnWIOl9sIPS700j9IQkYUAXRv6gPZGm
AaUKY9S6pHkjUYy9e52AlE7oRSrnODOt/TwTZGB08bqSx6rJv2eV1XYnSz6m4eIrRZ6mdJ9mf2te
2c3AlVqqrDkpw/No8ep0fqxF2j1NOUlQtotZ/brTGd/ymjXemj30Ik7ulpygf2hbA/OL63dPVotT
Gw89AlVsuWMfJNy+W85Ki/cJQTt+Z7vU5n4a8qgn/RFNY5rNAVu8+ieZyPmiY/48WCgCM5BjXJKB
ZirmyCCbd8iQdbudSh1VfU9k3vy2+srKnovxJnsl8206ytN2a9k4OpYfDArx8zota3JVbTuYrHcb
V67mAvZhV1SZh6ff5URlOaDXkYawdHwtKDGeeC6b44Nu1vhS62na8RHof1daimc0m3SIROuXTyne
/DccZv/VonTnYCGr/db2ZH6jSWi+4FMa76sZG10YU5bzNDe5RqAVjAtON1pOWKkhP1S1s66YqaY6
sdZg/d5ka7mRlxHldyCUdoxuodyKQ4B+p0ND+IfKDNo6Buz3sS2ZlM2CaLVRMsUMGTmBo2L6JyA5
kXxuptQ+ZYPllvvOLDAn3JSnW4Di062H2E6T7MwdvbhI7azdSTuCSoosL9n3pv3S/zPVU/VzwFno
CFewyn43cJdCblmp1XbTeenFwQQbN0LevalzJm7UT5xZeZvvJS2PE5GzuvGNj6YfcAlpm1ANcEMp
81Na55Df4TZx3YkACRuFfjYL9Swb5pIDdINFe0PBWhOPfLP+kPUSDGvi5vuZgrRgXEqa/iwHPXap
Hfdk83nijbkZqrqm7kh1jrYh1u63NmFgtakWJDouX0yeN9u5iNf4iSBLV6LMia2mjo6yQeta4r7E
OKwzcnGlEjRskwyEHdrVNHFTKWvZr2RX067r7tKtYTxqaXSjXVS0lXM/5jQZnaUYpvRBzZ52H9iC
E8/HfMjGaJlk/UTquDOuuFB5+7KWprUdfCQxez8sW5qdJKRS/pYRu6uORI7WFZQFHO8HDVLmh5/l
hRu0K7UHPwo3qWNwlkR4DEmjjXY3kDzqcXKGgTGzX7osJBhFH2yUrJb5AwZ3QMsb+5mEcdxaUZzJ
1b/y+O7mY6GEPjvkF/udRc71yA6I4jAmI7OEFaPJpDUbvk9r5ubmPu1bJLba0Ul+1ziE8MOtEs24
GwtrADpKJyrgEiRjCqn9+AwcslCklFMrEfp17MVnXLC1s4IM9XINeDJUxY4wbzm8LwXjdtsta3WH
TUl0kpI8uZErnEfVnmuzXv1jDEKMfy5ZpPrKQ8odTs4y1ow55jxfp9lWRFyybJiqb0SASScJPsPN
E1Eo9oC6LTY0FlHG1W5wp8e88/13OlKkExAib71o4NfBCe6zdTuKRHnTJTWcraQ+Cdwt2Axv3HtW
jwK2qd64ZFXx7udGzEQu2uQxLVqeiU7cAjQtPviCuSGnJc+0BJk6QkgdePP4c0mFoj3ltB25bRpl
MSlKa6x4TNWALH+2jFnvJGBGjAiJYUqDsUzXn2vS2/ZpmEXCwGpOA2LmpL+SgHVDCnxsnv9yrZDN
O8yB2SmfNf0dbCqkPfCSLHximVpiIn0xdRIu0elk+hw8hWUnaFK4OfV9BezCVbg8ZgO4RjiAa78O
iZ3weqgNNLPMEvFA82Zp3bF1BRGPrybB7eCvGlGXN34dNDSRiXDszeWwJLX3q+Pop36is4Zvg3C4
MRXEAD8qw61PBtu26UHziGm1Jd78WG3CDcpE9mW0VdJ+kGViP3dZ49xw8ArrZDW3T1vw53Bnt7/w
vhxf+Mv7R2Bek69vPNHQVjacWujYD3zl5BUhe6QgMBlZA5sL6zzZgi5TQHOYIyXK9wRttg2LnmKC
0GsEHTDzJFszqjsWy937WnecS7aq/L3BL/baJYV/IVaF2b8UWLJUc8QzO5a47EdDH1NihemL7bll
uTlFs1YxJ3ZH28Z/L7j6P1C4FNRbKLRDAM3/nEk9px99gXb56+/i5d++8i8m1fviS+UgEyJImo57
WyP6TwVT2WDsqJH/oWz+C1WXX2BEb5qig7jluTe+/V/6pfiC5YK2KT2pbkCq81/RLz1xC7T8Xb90
fRv4FuqVb+dI1779739LjQAa5UlsrMyGgrqhkNEHkhCAHnZ70FL7ocms/H1IVrPkLeVm464dCjIr
ydonAtjbItwat930leoBLq6eHOUevqa6o2AFNHVOx+eGBB+GVjOHuaw2n0dFmR1vQf8LP1AVUQg7
wy1pF/1Aqnm5uo3ZU+fT1NmD1DrxA4pLU/KqwJTppffwhhiiIA4drp0My9XKiCw9rsF8rum4PzRe
CqrS5NlMFw9kbcZNO1dH06/ldCyQQp4nLbtjR7FOEYmlfpN1szA5x0L/4pcTYaEGyuE5wvSLR+Ei
/q8RlzFjkIgPs2y9PDRmF6x0rmFygROmBEKk85p9ts1OEw1LnN1neF/Ag2nnMB557WaegUtsZvd5
oZYgV0XsHXNP2ObR2bDgd3HvZPidnCRLmKW18aPRse+zamfNrtSh5B9dpbPrYJkOxG5Da8ZlsTxz
i1TJEt+wgnJ0ceGZZZirYvWWzI1+L63bs8vVI3MomtOf1PEMAyizba/xlq13yzxx/I/Sh3TVg8+k
J9uF6mnDmh+NzZieQGWqn3aVGnkIUp+Uu7Wbjbehc1a2LXbu0Bwc7vOPhiVj6lUckt24a5Tqh5Re
lC+NXU4rdcHmiES6ubQ8DqUSf9zW5IqcGBx3m8eIgMTIQlOIxi0/ZBngAZlkWjmC3Cs2OoioAbrQ
ItjugYCnyOqH7rFlg/NjykbPoz023XOaK/O+WzJpUFKWV3NUSql2NyznwyRXe29Oua1D6ChA6xa4
xuhHa+c6RRv6C6tz6dGYWqKd9XoYna7ZNwB8e7in5bu3xnQaJ7V/HGQxvC6MVN8dP0dXtgmGE/BX
6q0ixfpVNMvyWCcuXvy4TCE++fyALEgXBXNtSNVHcadF6e9pcPMPMEjUVogZCZn6s0g7FKclAz/S
vPXWjq787c7QhCsaXMMzebTmaFUpPatstT9IM61eewEx3Sj7G/GTKjBdLgg0LAbddJngjiBgKnzv
nqT4sz9JRmxmgJBmT4Re6PNLF6Ogx2O2fmsTKjBdrZezPaKcpd42hZ3pMoO7a++HguUauAxWnDwK
KbYn25puHQP5/2LvTLYbR9Is/USog8kwbEmAo0iK1OwbHHnIhXkwTAbg6ftjVnV3hFd2RPe+N3ky
I8NdIgnacP97vztdeNYtELsZTJ2kFtW3p+z+im5jBhl3kKclVsurVuIThlo1+xuVISWtrKmpXouk
Mt/sOmte87ofvoekzV65N+4BfA07O+fvznSwsKi/vfM4m6X8kGbZXavSNj6VDx9lLQnpP5npgGst
KUAAZFx7UnLauDmgvVtZqKx5CWLLMT+htvUzwKHOfjFNGV/ssciDVo3lzynOXIDMlvMjS7QuxLgY
kXYGaHyzPDfazQ1E5LSsiy+3i/yZa5mOXbPXYA5lboVKg0DRfJupNF7vD8KztbjLd+Iq1QSe0ouX
RerudS6nR5f7x4gg0oPuRm9XvE5NjkFBbOnDItiibQd7qkTgF0V0tiyXlDdrxC2CIQf2KSc643A7
fMuxtvSrjqV5Zzk5xNnMiqzvvK0RLRAQZAKgw3SeB5+EO/bflIlRIeJbW8bVp9PafPvHoSL/jeTw
qKfwxtaNj3rPRXx6ECaS4DpeUuQbYjr3+w7iRBpNoenpnBwcnoG2nSUDHFPvV5Cu2sOiC9kEbdE6
RkD5+bIrZk/IsAKY+egZFhPkOr97WBzyNWv8AN0N7w1pqHpKarztQ/dEE2QaOo4l93rmO0fLKaJb
XNj2Bz2COYfqJfqhqe5Jb8rpAa1FYbTU5+zqY3krd7UCNzV2i1mCMIwHJMTWxNmt4dE0jJkBGhPq
EwRX/GOG4yeXXEz+2TeFDtJ10bAD1YXNhdfpYrUz075/ivS0eE7GWPwwM02FsJTdo+El+hVHujqk
4BUeCnMsgW4MJfjegQY3zOc+Vd7zvBvrSRzyrKUiRg0j3uACJV8L+w7Hw8ZLZSrWCuEBh+FsvjiI
XADPspjj9egcZj8qPyeIg58avVBbiecGYcWy2i+j7ykpqVPzeQS/Fi53erwHk/8hbtvmjziK1Se8
nLvuYIneW+caY6zVQsPADkwGyI8UJVZyw/2OOqBgq/tpYwcQztqM0tLmgOuU2PcRteWZYu5Yy/s7
OgP3AZYqyIwsMwUJyZhfNdfWHFRy6PybdMrZb73Gl2c/YXnhhgHfHVfKqD6JS0QAjkoTWHg/D99Y
6crhYuQDTtbaw3LA7ulWpwiizaYa0vkKlydjZ2+79lqhtvrrrkZxNMoMVhYD+vShGgfJ5gXq4Nx1
UIpcOqgO6JJgBW0rM7/cUkVk/M1B6Wvw/enRF7PyN6aJwuG4RfrKno242ALOLvD9MR+A5SiOReGB
YXSE/+JjoISygny6ZhzIsD83B+1YpNGi79Oxq56tSlod+nyXHRep6fYxqWbrrW5gDwSTaNEuHAeB
mEHggcQFRsTaNW+oeObBxsC7ibDFEo7F44qjWz0uFQ5YuE4x+R6379+EL+tv0r/Lm65aZ1v0stp3
i1fAqgLU50fSfnBby2Rw6XTOWw8bbmAsCX4FtRb9cp+1jXNKkyQ9F5HM32oiTicObNLeRrIaGLCC
QXvwoS5++Ex8V/eQj25jrsYLOgWYpHmcYxs3VNvYz1pm5XtaFAqAtFbT3YP1nfvCfG6owgZk/DaB
aPRRxbp6NVk6gYGabXP0oSaGkBbwbuSLOe3MqUgOTloP+xmJKTTRrrewwTbpYCVypWUZtMNUjT+Y
MknGr7ntYPx18w+Pjo4e8pPlMS7QvbM1Qw0NpKGPvyJ06HCg1qnlYBTqzR0UZHWfVdp4O6V4/Afq
M49Az5/tOWq3yh+fDHds3lpQcVtmX328ckePFSsbhb4F784dqS7i4inlMXmTMB7gZ8PGTxWzhtCw
jPRmQlqZDgOQx4yBXtPHYWWZ9rvf9fPPxr0rnzOrOhCTwmdVz8qoG3YLXJ87XpSDjk5mplvzMVMt
Gg2iY9luig+mjoo30R8xWZpsn9soI2ayJEP+mM2UkTJVnaOAgbT26NTpc6HHLolOO3pO9czVGPnV
FgqYGgIjq6eIxbDWfjWi1J97EhC7jN5eyDhxS7A8sanAGq1nZe8j3vLNYvOvl504dUxosZ0qO6RI
wgIOD/HJxQe2Lw3wPi5kssfO65sAgtnZLVPjDCc9gp+lqysOrvQhXwpjk2spTrveYI9dqchMxNqV
ysW9W5ubofSzswG6/oGAvkI+6RKBRQo6/KldOCyCwxPOqxjFXWzo68QKzLnSnKPkgPg6xK0DTnmy
41fJWscONotb4yoYLdbAKXFjSPJXq0jzwF8JkFIvGUicM+Tx5DF2exy8Ip5ni0VsWnAjjfK9cwzn
xSucGTi8G90tbqPzekfZXlnsDLhtUk8++ALrG2tWGCNLzSrZTYvqCZNUfMKU27Ki9jWlFEvjHUxe
+DeZGCYViYpd8NCcN/eYyCD9FAuixtp2+07fNWVvbqzO6pJdWcDCYtWcDSTLTkS0TRQm+IhFL/mU
+ji21vbQuWnokkE010Cgtc87bPGpQr231j1n9oAeqfKClW34qN0740iOc3UasOdL23P6dZdpHHFg
B+sXD5L9R5dP3NASO8vKC/RsHYVfykIEIrGRoHxQfVNgjBO+b71KmIZT/g4UquZR3kWj6b9FtJ3g
nXAjv1yRNMNSBXi7qw8aRKs8aKq7V5CO27eug0K67R3igYTkgdRnZpy+1Eic85Vh/Txs7Ky2v7uW
2fS2kWU7byK9x8MAaS3uoULxcFx66y4uFwXkaZytxsKmhxTFXjXf+M4wZrJKfPz0xnHWYPU/9sm4
Y/JbHSfPst9YlsTNqdkO0izyj9U490/TnHc5p6nlTQEi1lZ+kk4dy2+GxJjg+F+xJC3O/4/t/l8l
+V1ft0wLP9T/WSDZQtBtP/+S//9ff+q/3F32f6Bv/Cmvy9/3X/Yu7z8MX6Bim8b/8nD9T3nE/g/X
IDDsO65JSIww7/+WR+7OLxdB1bBN07gH/f9f5BFsYn8RR3R+gufrdDYz53IN9zdzl2+mXAqKyQ17
QUx/tXAsektMZ/oHwsXvGozuew5pIdPxXcfkdf32YzoHupCKK+d+KR1/IF56G1iyMdP1Ph+3McSn
7Z8+hcf/lHf+TCgw7vyVP6s+958IY8z2dF2Hd3pPPP9Z9fGJXsKljpzQNSa+6jDWioTRIfMFtn4L
d5pTpk8ePjOavbwbRyxWXXgxyw9OQMxVpJ8dOiexDoYczZBgfXbw50KdAIMtD8aEcfQfft87GeX3
35eP3BZC+Lqru/cP6k8qFXtgPquJM3Ae1eWXGjHEdK7Bf3I1gu2uRd6KRdnByu7VX22tL18kNtUr
6YJmKwhKfcfDkL8g8/R0ZCz199//euZ/f048x0XKI9bNLY3x519/PdeXRPUwY4eD0dindDFyRBxR
W4HbqeQ4ZxN2VgKZ9ZGRyBTqmh7v+ticQn5nb5dMtgv1gLjzPCVHw2j2eqJdGaHgS4pGLOkrR475
h4WyuB25fj0WtVn/HGKDGMIsm9vfv5Z/1Rb//lZjSYGdYVnkvH5vY/XQsPR+sETYDEXywNjTW6t7
sVQwUbJ5UG06EN8mKh9qdae+8HGTRi3KivlmVQJywBmkXYdp6j8chlzEEA3Cxrkm3icj33ScQ9yW
nqfKJSrmFlp8oeBj3HMaAKUSZx+N4DKbRuLdF7117mkSqKp7d0I67prZKfd5WzhnKAzyAUzX0qzM
BGvkygTrvEkwO6IZuS5OFQ+iGMS1U9voyZfntBzGmMQ3R+HI5dSTJ43xMZn6seU8NHOY1fw+qGmI
ef/79/JfX9zf3ksXmohtIeQZlgM94C+PbePeEbzdLEIjsspLDTAVNLvSH+CWbF3L+NYyNV2Ge/3b
mloB+DlDW6hvRxbtT0Sj/kRz/FiuTDQPCpqKIsCerPAsVPTBaJHVPNZJ3e1GRLzpGDfl/OUPynga
moh+r2LS3g0rjx+aBf72umhSfTXH+vSAmyHb9IOj/8OD8y+a2H97se59S/Boq+Cr8NuL9fCfA1B0
Qlzf4znGrIqGx0Vj37CsP2ozjXAS1y6Ry2K5ttKLj1Yj0EhBLzQ7A6DmC5fS+VerYv2Pv/8c/s36
6iHleyafAEcS5766/Gn1KGLq7QqhREgxIE0rLfcuCgBtcv0BcfDD3/+wf7MWeLaPQk+1OKM+/zc8
Vc3+oLz53tAxd+67Ti7k/i3O/qEA9N8siH/5Kb8BtojTp053x1PnVpr+0uGFPBA7YfqMeWve/P0r
ukMpfvtgPd9nj2ZH5WR15+b8+e3jkcyahsxbCATSPFpauXwtjnQebKzHN3OCQbGqauKqK8ip+MIY
8wd//wv8m7fUZ8bpE5IV8HR+ryuvNUR3hq4iLHp3fDUUusCEv+UfdmHzr2wr1xZoU4xUxN1UbgKT
/o33ZrLk3okNTkim6dZ0Zrwu9XlLfOE6QWjy08tUMXCf1NedJoMrSbssBqdl9hMvyCwsl8znMOQl
dn11ukbhIOx7LHW3zmyIXswJoNYUNUAfkj1QVSQrWpbboFTyVxan679/y35/PoTnCdtmr2TuxEr2
e+3yYi8IQk7rhkyB4SVA8kfUZUK6OLX2D5/Of3vbfB2iNaxjhwOMIbzfHo9kiWgqGjQ/dAuHIP6c
azsGE+TE26rgJhQNO95q/x9+KEfB37/Vji44CXBcYmV1Bcezvz6WyuyFWRoqCvH3PcPzqEMr9tqt
H03qnbYIGGjG1N0g+e/bWH24fpVtXDWbn0SCDUxRyZGzD3Qfz4X97jx2DWNWFrc7tKlBjUEvZTr9
EZndRz0aGHuY99Dbw32+xMMlix6StJr2Ih+Z07ud/ug7qqE+AHE4nRPKQgQI6FSf9Q02JHHyam5e
cas/NKZWbNxJJSs/ovzPasrrIBN/VcmY/JF+I3azZtHf57b3dM/lXBbn026WLzTR7lIxhw4qIeL3
rtaGi4Y5CHW9i4NoyQxutLh6mQBl24IaCp3/XWQfM7HbYBrSKmHa0Y1fJmatrZ0wxgAdatkfU2pC
V9XL56YZH1tvO/A60yw2ILpApxXAvFepBhXZFQKOS08Dz0bIPA+r1G92UyHKtTm35Rl3YP5oTA7e
QTOTfUi5DntuO5i/6GLxTmXpdpvUYGIYpTm3TzzEtIgqxy2ZhFj5j7zDT512FZncbF43hfMkmhSP
oryjMiqczECfqZ45Avy0r1EyyrWbzuFk6aFfTzvCXMvWLCyqQZ6HEcVssgPK+fzvWVkPuRqe8SX8
yjhdvqYmqGprgQbse+NbmchDV07dphv68RSZ6Pkyy6zrmLcCFHJTE5KbC1B9PlNLdPZr6S+vUzx4
pzGHZ9MzpkK2isnv5d6ElqhB92qnZdoa6O+P/eiVdIvxsQ3t3QASJfG3RxxxGy9Rt9Ol11zv87D3
SjbFm0qtbZVRw7lJs8l7BFzdXLW8gH86oelAkzfJunbZOL8U8dJfrWgeXpjA+GsJJP6Z5pJm29Ra
ftYaGe+o9tRuOQet85DRLZ7pph4YsnT5yU5zjtDAw1zBQRhsz/jUIrAxNbrIGU1PBgmf3o4pWn9N
huJnO7rzz+z+CpVOL0IbjY86HI2lftYN+i657l8kM7IIeMmWjLQiD5HXf0SRgd8V5sWKgqKUA7hH
OYHMjYPmFkvQ9xJuDFarFfB5cUVASs65rJdAb7BBQCtmoKR300bD9HYosRxdKuH9SqT4qGDG+ita
PWihbIFhvqFS1js7VhoJQb/gTDcheHTJsifXwuy3jd/apnuDfjZkjDmN9mdRG/1r7OXOrvRlufWt
mShLVJlrbj7dQ1u2sK8ZMuwQV4tNq3lxKCx+KUN3qle7rbQT8xw7aIyIfzmvbqyw046koNoDZEef
dKp4a7rqIerGX5aIj2DYHfBsPkZNUsyoJGnCv6DFydOIvTEcp1Hb5JbnXaIOcD1tJd6TNcw/O0/U
t6JVDvNvVgW+g/jQqJbY4798XBrdug5JyWdiMkMPkk5hkoJbxJcKFkPiKzJAuEons24e3Ax3Sm7h
m4/nhEKoaEleeohC/LNmOeo69bOipghsFqyOwu4ASDiSNg0jIbZFjBXLplDndIkKqgpqdeqFVoZa
0yKCFdmW8c6HTMpug/etCmwNx2yvtwEW9zGYtJL+xpy54qxN5h9UAcLW9SSkfJ+8Tkq946OplVDv
Iq52zsYq7VcrkjASrBiTZJJUAeb3i4Z59RZH89EAKDVYtMzk2TO4uopX3ORXS8fcw4Tc/NKXqaC0
J+Ok76nF3madia+uXaosmFrn0pqgVOmNXXZysp6MCKZAZZurYYjoX6Jrr1qaIQS4/ZM+nGNiiKCw
859k+amjqkZ7qxqH0KKmPzHXCrpkGk9YCSLqEoHSQDJuuvcet1nQSFUBkOB6Nq6SqHQ3M5ANbtdL
e+yNPiZGblEpmcfnYaFEtjeVsabwZYFrD65/pUmMqnTGVAicXWVvHJ/pGTXhB44d9bbOsvxYW9r4
qBkp6Ha9qh6Sum4OgjH8zXbkNckBzyDlaZ+p3dafS6vnWyNy09eo8uywp6SEFGl7rzKp4b/QSnWu
xrTY+pO3bBNsX5+UJmcH6ZHedR12ToZqku9F4+8Y2VHp1mdcB5n0BV1cl/uGNAFLv0AIbXP9RGBp
2PSSxTtL22trfFN6YlUrR5u7Z8zyNDobSfNoqmK+OXHuHQm3zUd3cbOjbltzSB1F9FYt/vwODYO5
vFkY98yO3MIUZy8E1b1FzE9/eJR5rRsbeNQoPZeeHZ1ZTeLXQD1itttkfmR8SaQTTP0jyk4f6rza
B+q2xLEfO/EQWTRiJdGoP5uM2q7At6x9S3joAcsWsEA/i09j6fHfwEOdpZt9NaXMntGxiYPea5d4
REM5dD+9UiSbClvrvHKxLmYojQldECBiCMki1O7B+YaW1h6a4SL0NCw7p7qogk4kCPBevzYaJwo1
dNyTJZ361i+p+BKpLN9dsxJrRODXmbYKUso6258E1CIU7VGrfsE4phNLW2m2Ux76nAmLb9ntBmOH
FTArABqktfJJEyM2kWkp/HFDfibZS6gL5GVtKivB2QaLXfLgR32rNcFUOfYeMNhCVFF/8+zeffT4
86th0rRrRdXkaUnll9OZQJRyDH9rjLTVE82EZ4oXd25nf9MfcIjzJX6khs0JpnnMA5BjGc4/3ueY
Noy1RGJfIUedCMaEYxzRadhGmxZcATkxg0rnUTP8i6IB/UJ6LX7hiuncy3pTYwM832Eq2Y3tGexn
9Oq2rnEry14/mb1qDmDWptM0Td1XB5u/XI0ySZ4VDSePDOzEL0z1/h8efppDnqZZaCb8OSPy6PZx
qtZYYSuhXFjc05SsC/On6XfuA1nIWWOuWkNx893q1lRutYeRNv4itOYMDN+15hgzudt2dYN13CX7
RSMTZ5IsIQ0U1IL9ekT+qbH6R/rWVo3NVjnI6NluDPJfOEE4RjI52M5UBRecMyVzRPo9IR10ZvFa
k7J5b+kCohiyK7CoN4TgozBjjOZQb5/5ZwosaKPMNRVYXIaYu0aa+IglWxCN9MWHYw7u1heads9C
kylUqvRPfiEbfnlMw2T4SJiHY6NJusgB8l0m+jA4MrVdc2nmBDDgmN1KZ/lpE9ccSnvYJIQADy1j
590wLO8g+vlCL+U9H5W3u8Fa6hAcEMCb+3ZDGoHiep+Zz10igkpf4kNsCm94MK3W2CTRkGxcaPiH
UqMfbNWWEej7RG2iEmB/iUuG3ZXJvVWSLKDGIDtqlB+/VtOC9f5rsd2bp8xnat4/DZnsvTn+gTfn
PTFte1fGWnmVo+7tOr2iFEcv3YdipE42KOq0DGrdwEJew1E9l3rTAsOh3qIsNDo23cLknOQJOm9E
2z9pXY4zDIsNhp7GJLRVMStdYQUTn5OqPEwNyhweZSTia+FPT9FUWrvarqoPerUA0bRKt3ZIS+oX
/Jr+CZaU3EJtoLe5adwdtbAxbb9se1+g2kbEV4MMkO1AiyGtuuWbjKUdnOPVizO1G3Uj/qjq3li1
xuCFFL1X0zr2D1aVN1fSedhT6O+Vwdilzd4llviqtymbjudhvF2lscDiw/j5i4pMJkWEF9Jv/kwV
FtT/Mk6aNYeN1cEhD1+20w658mgryeLu4jJgSUIbqTVsTb98GO1EE6vUqSn4yBJ3m/k6lLHUri2Y
YSYNe53vPWmTy4XBRTR8AU1bf3Bh149IFPWWuInPl3vwtxpWX3wky5UmyPXol9VXj+i4maxe/+Q7
bIazpaJdPnjLozbqQzi5Pr1f09DWe0BY2klPrIiwzkRDXoFv+tJy+Ahp66jWtVHU2zsiMkgt2ziW
sfdCz9ABB1H9k6bilECATJ7sUaufFkFdFdPd+ZrSgMOlzneuvo8hHdaDfxtIFZ+w10Ur/sr4j/tS
+KMk4UFUrpSCf5gbxzYDNQJz3n9xl75/dnM/94OhT/9gYSnOyaimF6XjxQhSN68ZX3bVD3yQkteQ
5Lsk9pYHkDrx2VhiEiztVB9wRVn7BlP4OTVKhnKaGb+lzRBdGjOu+AKhvSgImseSA9tb6afWAp/T
L7aceZomlMAeQq+c/J0cXfrLURnSC8rg+JrbKIOTNpeH2h87H3M7HYvkK13klKWddxXntSN8H+eX
MqR5b96sUpwvTXOl5GeukpWmTHMvXO7HNNFpxi5vEWVXVaoIbmRetUsqlTERLNsPmdk6EAmdwQGm
qUXHThSr7GUwhE8h02yEdqm1dACWJRcbLy71B5mMyVlz9Co0RA2tDE7HSrMMHAZz0j6yTWZYKwlF
8S2R8TqZvflVM6rqhTl0sSZMIgLZLBGXw6o/5+50dSPP5eEf82HX8BI0nOJN9c3/xGyAB52jZT57
rmIUyoyau5UnbhpJk8BtM04hkZlT0k2tzwvJNQRTHULLiv9b/lE0OKLGZTQvxggNbaVx4AEqohGJ
TKLsA2tJRcTUABlM2Zet0puVJP22kBaH3f9sJarpklq18XzjhSKhN+0EkJNQ55ZNfd5OrlPuckvT
rdcyirrv0STXuDZRDitIcyW5Yy4GpI980g6MzyPDnYNiBm4acJLWtAuj9d47GjPZsnAS4n0op3JH
q7h1KxbL36VaKgmEjjWxQU74Wc23XTSk/epSkTFU2LkAKQ3TKspTP9mUFdUYfQ1dRLiL14Rkcmfz
AXnvXoyUCgZVOGaWlVBS209S1NQi+N1LOgoKOjS8+0q63NM0b/peGp+sBHdvdVi0uvwpaP7cdA21
yWuILyz/uhqtByA8y5tJcvebzgDnpC9C++Kly48hUmRkPNg9B7ZCloE/Vy4JL57PXQ2udOVR0LAZ
xag/oIbFrOcjeehgJOgaSLoELykZuzMFTtkPrpZcF10lvZ8ZJZuo6yzcb9Lw/Dz0LHXM+sQjl6i0
ClOGcpqPTvp1UDR29M5Iie/VWKRc9NL6qcJn+wB3Ms43mmf9LEwEKEW1k93bDE/QM7f3fqc8p7Z5
WZDAVtWixbd0dovniTjjxtKb+EhNt4FBLdcQPtqhJQg8Vt1mhk6yn0tpho2Wtn1Ygs98A8c97jK2
r9c4J3TICg/HjFdidId2yfLPmuNSqFRNEBhCzFF6g/FIgZvmUEfeVx50bpLta0IKMFSmaY66QLgJ
u+Q0LqfMMLgYcBv+aQrp7VFXcaiN06/OGH+1nfaicwVYFRm2SMsgjOrVlr2xFUso9s/htW3i+ECJ
vf9AaWz6a6S8iT5IsmJnlC12hpKDNbRa0yXsZxv3vipAk8vUaL9o5cOawWztuzOF6v64/4hqZZOt
8W9TYicidDDq5DjbyByvHMaZGIqtmQCIQWOPfSe3YZzhCr68irYdmQcuVCpqDWC20Zv6yxS5j4Ql
xalnDRa8rChIezpR7lCc4Tj2ctm3mFchTM0fOn8LWUhN2AEXk3zr9DMsYZaIKWjn5Yc3oMPFW7+0
P1yCgRcdE+w7XSS8crZhHGZVv2fGVYeoS9YruxOJ4kRSwhbN4qwZsGo5y2TYhnIPb9NySqpSHqkY
pdS7l83XXEzIbeUAxKvhrqtNWbO2pOqjdVQBwqrpQOAtxCoLaoxbc8NmpYiasSWTcJq2Trto21rv
igDfbQ34YjCbc2dq1Ua3W3ePMy3WV6x0xlPjgTZAysj8QGXepK+1bNovRncrozZ5pCJpVfpEYbgD
DtYpisixZDyHszPX8drz4CPxiUMRXUyboSthMvK5/rEe/XelWe5rsjhkSeeWEIu3EIslnB0I9t7D
kDnWyRsHJwBvK99Hw8mOJUlsMBN1E5rTqNYp7W7EB32FMd3LbbQEbQ59K2FaV3G/urqU9WzsUY2E
APz0j7hd2IALwIHkwKdLDq/npSSr/BzHwwKOOHZfmdfXXIko8yOXOEgr9GK9JuOTGVZAeuDOdSd2
ZTWF+dTPlc99NoWIaN/ZbgsVVQ1NgmtIKtmaSqWxWts0Yq18ewKdSlKyg+dbZ/oqdeEIwC0i0uYn
dsxxa6ZoOfXhtDpQln2o3YqjPY77fs8U2lsAQ8mm3HTwFG694em7guN9zWrqyTtp2EzhOAilXdNi
zs6SytCDB5Vom9QEkZQSzsNkV5IstUHLpqR7UIwdd6CucII2yprHdKofu9KyXgycYlVr/khr55PE
pADs6Ew0ZTqjDJ1kKcli4YDs5+LkDJGgIj7Rb01N0THkNu9QzgrgUZc/V4lP63AxJt8SGM6T29r2
MwiYaJ9yBAnxMz9FkJxYpB11UwDodkMh8vPETkqHAuiBOBtuAKXiJxDm5bYjCExIHpUZQdc6KRJ7
W+E0/WboCJ4wDPkYvFY/YqMjPhkRHytaF5c0jxHp1++e28rXvOjgNTRylPRDAaEAJTUy+crTptyD
UChCiYl46yZUv0FF62uecCsOF2tJnql22+AsCy3K0vYGs66QitY/7K5cjjFV0BePQlBBbbWNz0lj
Ja3Qn7Z2pA+bGqifXDW9ibFRXKQgbyf7vBnh83bDJqNfllQco+WGygGCry1uEcrR/aw6j6k2fJQ+
BEtPi7egyI39XAH97jGnXQe9XVMB/WAu/U5ruN/VJPSPrUwuaL+QsI1yWyfZtdbA7RIcVixNXIdN
VU7I+eN8RAB7oZ4VWUF31wwe1mYKYhqIZrOHr3iMK6oa+nYqvqw+Ste51f5YlviBDgxCo3FaUwhh
mDHpscYz2Q40ehoFV6BFpHvXnDus0r4ssb5XTLI4erhHoU05TjUuyE4xkzWxBJ3nuHYRKblOCCre
f4Atd47lmNsByVcu7cO0iVlzA90l3RZQXfGzJlb85Mi4gjKUmOTTgIY5G3vOepzkc2OjtdTJQWhp
7myt0hAf7Who8WfEP+Dr2TYO917feLZsFxKLGlHb8nkMibVD5uYuHS5grP0NAwqkDGKTV+iE0ZNs
4Jmkg1+TwIBbCB8qiD1pHqQwyXdXo1J4ud0l/SQNyq7oZjxSbWrU2TOJjIyRI5Eo/zMmG0l3mrDc
tS7JRh6dlPvJOs4dQ334fpZf/dgV1p5xdlasycTeF7g0eyjEiKcxn6a1kiaaqAOTYYjZDx2dEQLr
qe/A1G/TWwYS4WnobVZb1o1qa2ULmibcM4EPJHXcD9C5w+dc0/z8r6LD1vaHElgw52YSPNXapJtr
syw9kFg5G/0uE2z3pCJRI9J45LYYNbhLPK19RygmjW4qojZT7x5IoaHhay4gip40zlKcHR2GLz6E
C3brfUeaBgsdFB9HXQT7O/msi6XFxy7rYYYYlEmv7LiKr4IDyYknLvkgVy65EcuV6mL9wZ2Nr1ZQ
IUfut9kRdk6ZLs1yVWZwEkv/xxiPNyGndzvqpn7FF5dv/EJAYMKaHmMavFNP6rNPL8zaaXnQgcRR
JC/Mu8nGGG7s3RU7ZI5KlhVNGXIN4Kbaazb1YQVR7l8LxtN1a1sdWbFkX1WJRWNPxJ0J8yQuE4ep
VON36smvq/4lHhr8u6mFSF0IeQaS9agX+amztCg0JhfAipcgUnR1FL1zXyj1EFeaDFw6wfdjbfU/
oGpQadxS+HukFUiP16PIMw6+KWNhDK9rrRxilryEUnk6f7PY3826MQQ6Vx2T9aeszzqZ7iepfIOD
FvppqmsMR0T20ZGc2s4jKy7a6nRKawHNN5qW99nl1lauGWWhbFAvn16ctnxXyrCu8QIKYdP11vyj
0dN8N3A6Ptl+77zPcgEngEWUo3W+APnJZl8/TYUGBNl1eRvwg2lwALo4ulhIQ39wN+UWsmTROR1j
qGQ97x/vpJa4RhjBIXjhCkcJTNtuoQmticxB/Pc15gXdmL8A/sLB2aiNKNVrD6eYdzB+YYC8BYzi
7gpmSQTlW1hkM6H9QLQCjTvTLlQlQqrl4PCCxx7/v9dwMxl50FaFo7ff1ZKeG+necyvzlix0UCng
4tAo/wd357UjOZJm6Vdp7PWwQDOSRhLYXWCcLkN4eGhxQ0SGoNbS+PT7eXb1dFVOz8w2MBeL7YtC
V2Wo9KCb/eKc73BlM8gPFi9hAo9rI5bWiD3PQ0pvy5rkY41hgSMXKNXadpIfcgCdgqixnvbkQ7Yv
uAmZrSq7OTipbD7JeSAnepY8IBOMsWRVNAjOc0fIOWhEn+0zUmwYrhEU6sZe8QhXo2t3WCBGbJR2
tPBzIfUeSxXdxk127F2w3d1YJ8hrG1YOssj3c+vDU2hBdjTQKaflbpmTco/wbDqnfHty72Umklcy
ylgn6DR9wZOdfCyiFUGJuOZe1VBQqAvr5NJBT4w9wR1PfcbabJQhjVwlzxYHWdMyNZV9aOVolwEW
x+w4UcdcjCQGQw/papttWkwAIuyoc5Zpb0qi6Hpe8gDHxVPWAb/wvMXb4CZCdg9qibJOHpQLwRgq
hrNzIDyCEFW9vKaDq1Zxy1ZxXIO7vC3rzy5NjC+Cio2gdQfjKjtXvNMikzv0etXRIpohqMhLPqXL
Am1IpNbJZxz0ZMcSF4xvOGtsEyX9ntOf6aMycDICyxE9c26VMrtC54Tf3h2pncNmuuTEhQJELbcd
OKV3ysrY+1fteTPWhOI5Z9xwAbGZxL3Mh26SWCB3gKpdZ6JyPrD1ArVgqsflgT8NErGNzzCesETm
8TCtmSFZazMWw6rOjP6lBRZ6L3g+b+Na8ChFRHRM9lLdOUi1VhV7qICbp1unHLIMqEboGMAvmKZk
OlnDIC/uk6LOdmQ49c9NyFlXmRYL/alE2bbShNP3qwID0hjkpWCzhPSdhIEq/rDR0b6Cq09ugK43
a9aJRiARKmKDtZwAp/EYSBMPPT4OAlVKSwMR8LhyomrktzNVjfduTMZr6emvaHSta9BMJx4opvVM
k4Ii79NTDFZ6AIPVnjsHOy7mo7+wut7VdL3DruLwhLvUduOex7qhfDz79KfCg+RPnMCj25gdoHcz
Gc115ed6DgxeWSQDi4/VR4R7xy3aDxlNK4uZe+ha/Q2ppfpQmjOQv8wY26Anv4THkmCa24hh0T1P
V/KclbV4maSVr5XbRZuIGPttWIXLjSorEiVcbIkrIglYO+fCfEF12T9iVmEw5RU4ptJFnEHqEhS8
p6IvP1q8NezPbEOirr5v/Ka+KlHgb7kt8o1y2+6CvMuafpQEeNYv4meXPAQAjZpLI6X7klGeXzg6
Egej9+GkcodYuPE8ve1s8EEMWvoDMGbjPYsi9YRPwLsoaZL2nRF3zGHdeDcnabIVvdrkch4+Db+R
hO+cs3tdOak8iEWCeXeaTzyROSW13b5Wakw/LB+YQRtHy73rynHCEzAw1NGsj1EwrJkar9A38s+M
KcmDjkJ/CFhueHNgjn13L+aiO9pZ1ThH0yvHi17D9GJGPQ0A0fxk3yQxG3TyWk7aIqOAHqIg+kLE
+abGJIQOCruf66fuQzjCcI/rikIE5utFm8uJ9zNvPWAnLDG9JX+MoSI6DSkObEGra6MyHt3S+LKQ
dj4UtdHcVYMdbo1qTs5VbTUGdpI8mST03ughch9gi493hh4Jb09vJ0atWwnQ/CWrVHdygFq+GGHc
b1KEKJdWlXjB4IbDC8fKi8py61ob5/pgKrKjldnyssw7c5dHcXGK+iQjQmHMPscxBBgySTNoizGh
VTE5HRBY7ekNExi/cJdiQLq2c8Do0+xGAPGvRdS08D/0Ij+gtFGPdbVprHLq5Ms0cci/thVzWbIf
1t2ZfhjVg8TAcZZGlIPH0UQqbVEr5j6q37VnGyigW6KZlRAvBC5B0vL4qc6MvULcMmxNLscFSwwz
25SvSlAFnrTsEMFMO9UucSCFD/DWiEljAiGDKLb8npjXqJk7IyfYdkcZTc6StmwIV2mMfa5Ly32j
mBoTBvrqxfEnKqUvj2lrELHFTkKxnV0kani9U9wc1VemsgpXvrEribFZFTrj8NP2Oi5G/InR1eRW
T/PAsTMv7nrOWQwZQpvsjeMNb9lgEPZ6TFxxyMf6XsN1QTFE2MkYg+Ep88CZEhQIbIXwWM0ssryB
cU8BHSmSxn4B4Jtb9n5I9ZXdMP3WJHvdMeqy950HyNDuI/TI9ZLQTA5D+ubWut0aLlAYz02yexIW
1INT0jFWC9RMVVRi9y9LBTG7ZXW/IaElejfi2L6mBTa3pONku7JLusef4rwzxuLvCYG/xDj+8q//
n6U68rijAvSElLag5KbiQY33H/tC1u+f7ftfAGf85fgevbd/2b+zPE3+8q/8h/V78V7+/KN1MvyR
q/EPv8XvJhLrN8A70sbt4TgmgB309381kbjmb0xWHZSClgtp4yd7428mEvM3F9EiVjGuRmmrM+rj
b4wN88wIVnw9/jrnL+n9MyYSYf0DMSajBBMNODYPzstfxLogrLm5OKo34fQ46OrafxDbaBsTVJIg
dg+8FLPA1uzurEdIUhzMS/rYNck2KZ55E0DjMQIPQqOZFW9+OK6zeI/mZjUYWxe540igSNgVh9j7
cZa9xXUEXC15HqY3iRPM0K2ieLlnXLKapL6x4nZrGRe1993OQX7Wy43yGH3GJSWlc6UhU5TTdYUO
JVTf6Okh0ZBPwZZPKCpgtop4ZY5jUa71BCon1rtCEeXNwRLM+HoRiGFkabfpWevC7XSc47fSJ8+m
nH6YfvnY9eZt0SzwhbA9rBBW1RvEikzVPvr8RiGNY/id9Ss6J0RA04rl3opTdXLlSaTpfZQvB8tq
UTGccbTFRWZyG6riypoFVXRd35BFjiU5IrvOMDYgoU65YHxbM3M1rOrLgbMQlI39aoIP59e0Gato
UzFJTcNpS8YyjH8Nh4qmU7Vr4p+uraQ/9co6It3/yFx1mit+VvyGQIuFfJrhJ1RQ0sE9biIbAxsh
XVihFcsnNfJVozg5YdyhwfeZNttecmxQaKXzf2WMEdC0/yTOPr/vTNekAxAuTir1y7OVjUjlkgr1
7bwUj21vVIFtdyeYXvsYx6wjTWK6XEWtUu7y+sYp5p0j7Msekctam+geio7jOQz9g0ryfWaYuHWn
bZtmIbti62SN1XaenXvLpkEk6WPdYLRuyktzsHdtXbJw2gqsviW83zpZbh0SqNiubVpB7gC/wlon
33br3DnZKzEaW0YnQcLtH6XZNhJx0KIjayZrXaXdFVl3azlXaGQN9lbmqUVoOlr2SZv+lYI6P+sB
um2xg//5kJIlzSO5W8gHEG8KsUq6DBdY+44mIxMGd9G5eZ0RIfBUZrrc1mNy5ZXXcAYBdIMtLrwf
Ra/3eW7uI4YTvJc6M8iG5WqZ+40H0FXXzrYqh1XBF4TilWA0F/qC4+JZyuiYlg+yba/bkEtHTA/l
/AaNar6spT7X1sJ9pXIfmLbnL0weNzQCO5LPGP0DChXnQgB/PxBmOkHkk5HGJuGFFRCInpUEq7hV
rZa3P5yup79q9f/o9/p3BqXzU2K5PsRzT5rmv1PQ//2GU1X2BQr1OeTlC1vx1oA/XUA+44O/I6bm
uAzjTdS1B4wp5+C3lcjQWvWNe5Xhh16TwHXAdnsTS2YbSX/XeT4CxB4Tczx+16gn/vMfG/PUL0/3
T403/zAdLhgB9+vPGu+uBsE6ijTcNOh+Vqm04KbyA8MBmdn4rcjCWYV57O16zsU6Unuj4JBqxPAu
oSfU5a6JcxRaxsJMt5lQjrkuz2wkN5VMzm2KXEEfPOIuuudg3Vn5fErS4b42xONiwfds5WfkzPeF
3QGa8LAI0cWuEDDzjVVfbUjL42gc5Te79mGF2N+4soqJuKOlZoBVT3fxOJ4Am1wi9iLwT5XX8ZnD
rJT/1riLWFnZ+KBEfjOCo1gNTv3NUiZGcFo/TL3x7dNyBF6ivpWR31N4vRQLiW1jB+xUfNc5nnzC
gc5iwSRq0LBBgvN8zAfOEzOXneVNPsq0H1NswMcDFVtMm06sIjYV1FlBQo5OWcvVlMR7m8U28VLX
ppGcup7bozYxk3v+nj076cTD8Jy2/SMEFM5x+2XJmscowbQk0aSOiJkWo99b1G8N6jinKe+deNqb
TCzLPv0Izfo+j/uLgSGdQmCDZAJGu3eKSvNQ1dNpsr013MX7Qkj0ZoVaD6a/8YVP9IKzZRux5Vd/
ZYp8A2GCWyZ5zueGGe2w6YGkOaB5qqs+XDYYrLY9SCGwoSvRvaTLfQgZkUy8dTxc+nV2IJ3uuT3X
rvpcxaaUs01Z7Lxs2cQgnFat1SNXBGcNc2YgPa1p01d2gUy8z3WxlLkJc41aOVVu/5wW7m0VWcSU
Ng37kwkpAcL5xEk/mtxGu0BuiVdgvfefbZZoZPR9epGxBfQMi64Kr0oKzZU/Vqe+yfZycbYpjWwx
qTt4t5e21NN6CdksLA7hmbng8/s1JoAtEc/rMOpKbqYXRrZ7a573BYs30ikplsOeaIu4fIlQOM6t
9ZT3Husk9eIszcNcDD2CnuHQhO73Iq1L5FfkrXQDaDvaVz2TGAOHUK/byMs3jr1cZT/H0tUNdoJ2
57bmu91BG2ROfFchkcsa8kuzoX8xcwh/ZI9UQeLrU2v3j7DqL8bzHsRC8Whkh0w6T8oVJbyAOZBx
+iA69TLIgaXF/KOg8V8ZZb4W6PaNCaKGaZ4KFa1ZpD0V/UQsNIsG279Tg3EdkVrAKpUlaOCH8bEb
EagUy0bztNuQeBZw1ppXbJ59LOAW+VwJMFJWu6Jh8/RjzIgCWsy3OZrpIeYtQQAfKTl/5HvBMXOc
u9D/QqJFA7uxjWPrHWuytqybcoCSmJxao1jjHSTg9W7UYLNT7xHLAIwn8BBLH5QK6EANUSP9ypg+
lpCvkaO5/sPEwD6Z7ZVFkHUSr4V8HaJ7Nyp2ykP7Yt8CSFpF3US7K3lcDMJ471j91at4uTKhjxGo
wz5J7xPUma27RQZLymO28lNQm+pGTB8+yq6CFXQ/nK09vK8z+eL5p4JFs5vfmhHYM85KhkgyQ1Xs
rKPkx8ROsxi+Z+QfyHp/zJYFhHuEe1szZWujPVyEz3HCLD/4Mf7/yl9ryOgrx59ANaDt9ivvgMbR
XRmj3wHcLZ4SbUSbWWr702hx1XgG8kdSMrZTtVw6bfkQR427xpvyAC38tcI9XWXLA4OI0xL2bkAc
XhJYpWUfoj7LSTn3yo2rymE9TuVHNSw7b3H3Pf4L3MiQNTzKqSie7w27YdRh1puJMV+RTu89cIkB
FwMzfDiKwOsX5f4AjHrhT/GXp4cHHylQgFmG6GIdrSvAP7hvIHyGLvmoyCLW6dg/5AiqakGK0WJf
Iez8ZtAapGIX9eqCzNpzJMA1qF9OX/saM8JR634HPlSu7dCKtq1NIqM9Ebk5NX4CdrE1go4JOwQw
VJj/8neTVO34p4w2dEUF9oBi9aUloJKgVzg5URciGxIXvDbJBu7UuJJ1iKTbdfvAxQSzMg3MwIiB
7v+72tH/J8GMDI7+UEas3/v3v/yVV3B8L77+1/+4fG9L/lv2/sfmUaifn/V7u+j95jgSsYivfInP
2aNX/b1dtH+jOKLasIRp4mTzcSL+3i4K7zeb9aVpgoUUuIgt/uj3dlGI3xxXCuiOUtj8H2rwfyJS
5le3pcK6h6sNEqPPV7K885//wayqOseoXWaHG9ywe6B0NyrMvomn2AIDWBthfztW2XdjIwv+w6v0
D2pE76eJ/o8+T5oH+nYHxQFCVv4udNF//M5R7FjgvvJhoxgPfYW2C8AWeCXrWQfG8EGaC0Vs4tqc
eG5iLHdzV885Q5x4QbHY1d+UcIx1Mz1geikz2HiVp6tLtF+yYnRFQBgRq1SRYG61dyI/GDTHQDWy
tZwQA06LyWFRo3th8I7bRhDtKCI009uccf5qVu0NcaEkf1rWR2oiiERJQWKEBdwVuO/Kbco7XRTF
qieRQhl4u/uYTD57btM7OkQFhW2GuYzFhsgzrPNHtzPOaqs5ZT7ppQ+R7/H9Qj13OxIOilvtVJus
Tq8gynXXWc1LMfuLWIJwNjXMoCzhkyfNzBA15vhhKcN+7F0iXYNuENFN4vrtlVMWDtJYTaKzSpgJ
0h64AabFlCshjZ4S5O539C6kvSxxDUK72glUxbe6amwCvvv4pTdh3dKC28ZWLxkIe2s0vJvJ6Prv
cJbERcKvbqMgSnv/s68nsJh6UijXW998hKbe8X8lz9g6rK34rqsabhVw3uhkc4nHhjBFPe0804sJ
mDXZkiBhvJJwkwKL4OLjnBT2jZksaIBlpp1TY2RuoOzOvEo6+v2hnsvTHE0EJxC/eT5yG8a9tL8l
fE8cVbvKHuarMfX6LVvyMjhvDbZp0i+X5TzWj03puQCf686I1q7lVE8SNtNa9oQMrVxOWcB43uhX
p0haJPXEdsaqMNdDD469bIrA7mqfTB4mxXtlmgk0xJiAkCIn+L0FJEkpznKMCFfkQZ6+4ePoqiSg
/y/HcB1iYBHZYfLt/VOsJlQi5mhETjAgJA4cTHyHgWA6VHNllULfGM2KsF5TWrgmXWSRVVQ7T45G
KrBZUq3CtRpBXjOoIaNXtR3jhoqh4yEsOgK9o8qpr4ch7t+aUvIgZY35ggQp/uL6qz94ZZK7jpi7
GzdzKLYbnaPMTuwhfmFWDIwtGZJoK1nXAEIzxXhC2M93WWQscKJACQ907tpv+AvIo11SyKGkD+NI
TsYU/1RsCb3BJSe3LCb0PfnN1l0JlLJZT0L2C1r7BsPEmXb1gTdQMQmJppr0euG/dV4VP7cEPXob
22sZWOV5hoXPZ2Ux9riM3GEQ82awkvmd0IzukfBEoE4SOdF7k6RNuaoBdqyFaJUTKES3JuvRRnwZ
XSLu474unlCKhrdEdrgv5QBaD+deDltaThaGkZBYn5UtxqzeDGTz3Feqsanx4cOuIkyylLupysB2
WgP01ST2eiZQbY7LVc2upEAgWGITmxAWRDyiD2IlIgCpILPSAC7HXZzF7R2qkYZRW2TmlwsoP3FW
EXKKZCgXpxXLceNG15oFvsjIUky1QSyAaSL2ChSBlh8mSRHmWsEn2gOGY/WBccrVnITSBeac8PdR
w9m9AF88PRlFHp9k7zpD0AL1ZRtdiuk2wVzwxK8UMXmtCrb1HnmJoa3a+wibx9qu7YlO0CluSbpO
N0vdqXPdNzcvVsd4iMOMGBvKH/XGYc5vFJEzESIgUXAPsdky8IWOTFlW0Vz3KJnQhS9U5VMPVWrm
JzXQ0w6R0ohOvdSHUjeWHAtjCGBznRnLeJx6NT3lZkti94Jqmv539FFtmNKXr0nfjU4QDY6D1omM
bRbDLCavUx9LBGGj9aOnZ2QvXTi6HhNPmsYJbdBnEy3o14r4vJBL4MkgHZCAOTD7EqKAwqPV0YEs
QImU0rKyI1s3Mz5VJk6iDdsTEocJ04x3XW71/oU2BqY2Gl15fd1WRcL2HkD2+xS2cxiw3Gq7TSlL
kpBLFBfIT1x0g1ZD+C1RDRE8Bqs07IAHp2UjzRoaO0JlFBlmOxTr6IWZ8SntdHyIcKjiiTUZrvDG
FHwKKc1+OtZBLb3wmiepfXPxLl0bWes+sRotLggKyy4X1gwG95zK9yrW3KBZOejnwhMcepGXTEfY
E9S6RcZJvRA6wjIGUnBDoI3tflalUvdzhkooAcaJtoflDi6jwW2/NUEyt62yyF5KcAtvCIedjl4x
CdwXSNGIHCmeSzhw2LG8ik7X5doh+CPK6N2Xy0KWCE9cUozw92FP4yd/x1B2HKaYaZ9rAndcKKR+
RKGTH+2QUK3NwB6KbZeVuJj9asc192GkTbjGoMTfzUjTNQ2qz/RVpTTtqqfG+BmjK6xoglCTlA3Q
TM9WC/5ucxjrF2ux1APHb32aWYXv4JHo14r7+UrJaMZWk8v8tRhmQNKiw0fHwEJBEx5TF9KrHESD
qlxnyP+UYbZv0+D0J5xv4zGcQ3ky3Q7D13ky7YXJ8ujwRvpgRxUigEOvDUwz30kEIjW0R7RwzI76
9nNBxMIooelch6hTdsfnX5q8TexmuCfebTgMRA7kVw1b8FdniOPvJQuLOCB1BPWAQMrLC5fGC3P8
HkaOfSD/Ch9YFUFg1pgX3rldklvWePHMsYXRZ8azSwbpuuprrK2rpsvcGzPkyg/YDtszK8USDb1h
tTYSmsFZz2Rp8CZgwTZ3Bgxo6YfHaqye8SCgVGhhCsSpoAMvOh1vKQwaotV6wx0vdWwrtsNWPJF/
QYhKUITMQut4xvEH2BbpaqjbzVAbFnpf6X00srcuy1h5zmp2RdRCcPa7Pc4CdUXyxmujwuYxmy37
h5dJPwfwwGO28WWHo1FIigTktW7/7SkDw0QzuOOwsRPHuzMtFQF4Hi1Abx6q9W4dz0PKu9MawNhO
k4UJzxuLAW+hl2bsObHaVJfDaNvPExkYMA0we1AI5TaXPiqLfZubHT6zxeO65IIX322GdpZzOo9e
krZEZGcM9ky8BU66tamLcRMnoJVWKN0FLIC50BcgWY0fYdLSNyc4mDNkd9D2ayfr36wG798qHxLj
LTIIgQisTqdYvixOAV8S2LoSGGDuS6/GbRaNNbWJLZbpccomk8sYQ2R3gOBrwe2OQgRl2bnfvNaW
ad2ZRAx523xSE8C6JW9a7My4gXol3U+IEuhYbTZBfpav24ZwZKsXauvguXqeZnl2iy1UbC2pM6sM
N9NqNHWLO2QGxA5vBQxwL4wPLaL61XRIPnVKRCcGuFufJPeo94qtndCGArTAH7/UfLM6kjdD6rGo
UE68LnBqQqzQ6yKZybj3nTlFlMaQIq3ZpUxF6W1l1+Yb1w9trtwxPOnQQTfiosrZejDC/UWKZ55E
63tKunTTjsSHgyl3/RPBf+1VGs8THv00d+8WoZNqY/Z+fG9oUVzLYeL1403xNNsTx1VugWfYeV2q
n0Pb6x66tj/7xRdn1mtSJRhiCl0P3yhIhg87RkvFVKiLCxCZIWloBd3Nt+XhFmUwiRPUrnXFFQul
HhmSpVcY1bDBR5KnEL3wVDKXGfT0nRioDeulKe6nhUNlVZdhPayRnzBRDMtzcHzY97PcD7Y1w8DO
Zn1h8yBS9OYFZFtSNVcmE0SGbjb6CK6xssmPBdV8sSbUcTQPTpu3m0io5L4mZ+Wu0guCZBdhO97A
xUNKCqllkjDFKz8FmuU0w2QS6qIw5OXhyH2vE+xKbqz8hwpeqQWyRFMJclHmDSsTJsjrSjQ5O3Lk
wYyE64YKybA1L61rV7iZimILASqDUJaRSA+jIh43fXfGVkYgdZ/14Pkdhswh/srcCPFy44ZURaVR
UCIKZSIKiyZZPZmDlT9Mnel9Svxwe9Zhc30ALlK+lHTGFa7ZNn1PEa+abANr54aQKM2gmzmfv8KB
IC79aKQ89Em8wNZaep7FrCe0ORxsRHRcw1Vzi7kiHUnf4DFEgItjgwkgbU5nt+ZJukkjLnOv7cet
bm3zwS1bC/lw/gWWe3YJ5fFgr7SCWG62K0Ya7R0ViQvVTs6x6kdKyLiffO8iIWDjAtY0D1zIO//Q
p0576tBhoCHMbLzKtkObN7I93CXQCQ+TFzFuM6r0U7kdWGzLTcQlXbJzi/nwUnhE2k1NdSikXNh6
ZpgfCTYgdlhtSGtEQmDn0K+Z5UqWDyxi1U3HG+AmgVuHs6Kvmdjh165cyo+2Gsll1m6fnRP3aCzI
7mCOnQ8rLBImtIg22ZWNKG8nuy9OhW6hpAiqRly9ug35NtrOr6pSMIFFHsgYcaa4mFN1Y/lOt0UT
tcf+L4KU+jLqsulUqtZ8MsuCTCsbFjdLj+65xHsV9IlUdyMb9Q2gab0l5OjGjQ2SY6UzKNyus39A
KQ1ddsKfOHJC+eYaanFyKUQGZLdNvGVjtnl5xE/lX7BjmuygCn28ehzeX17n7hq8WN/4jbNTNLL8
7cfSfyXX07tw0Wm+yEZFnx4XaEA+N81ZXvEh9oAutSY9CJv92GbGaWHt5aK/IlWJK7mrH4q2N/ey
CTGFTcSqPJzTCy7zkF3e6Bv13iVk6hGRTPYWDuZCsoOpje9xcMvuzcpogygA2Ohsy9Azlx1r0An6
nS3ndX+2/x8SuKSfhujbKw3OAGR27HOBpbMwqQZqnU3bfKSazFif3CJW8NKt8JphOzgT4N/YrM/5
bEjKQ9pMKgUiOrkza69OiIGqQRtgp7GmbE2N1F3UP4+dnh/ttVeA+M8Mn9Bcz7PBQzES0OTsnYI2
AaCchSNYVh1C19odWDxapVBvPcawr9pJZLi2pZ/ptcey7uCP/uzvAZZ0EYPXmCJ6snL15UXo5xIm
OZfd1E1HnSLcCUwzpjAdRIpdqLDhHdlRk2CXtat9P1jWnd2bMJMjz+RIJPJ1WkOtjYD31B1KR2br
2iHOIaQ5T/NyZHs0SvNqaGu03/1I9dR7MVTYypj7D4RTXr/77xpqotL5qJD9JMwl/vd18tECR/vu
/+efZp0/53d//6jdV3UeLna/ftCfPgeFz+8KoPNM8k//siFiESvx8NXqu69uyPu/zQfPH/l/+4e/
TzkfdM2U8/2zSMp1glsm+ej/OOm00K2gAfiPtTePfY/i5tS+f3518T/4zL/OSD37Nxiq7Io9xT7S
Z7r5bzNSlxmpxZwQHtzP4Sljwt9npMRuI/9RZ/6fhSAHQOu/zUil9RsB3ayeLTJtBH2L/GdmpL8i
xwS0fkatplLABKSwfplUYkfBODc4465m9nVP9aBvGNYoHHN+0v4w/CW7pJVr6v8CqoZc51cpj/AR
BpEG7JxVRlTDv3xndLkZYXqMEZQ9hNuktZz6vZA0wAxdhF2shlqwoE7aaXjJ65RQ7tmu6gwBLnz/
IKRMVDszR0ASdK2V45AIk55kamQ/ttBRj7mFQDLzJ008+0kWn+Q5YLoZGEutBP17sqqZqv6wGGhZ
PaiknQRI+lrgjzp7Qvwn4nyKeGPKcbzVRMXW66xXyWUSg8KH3B/WaTAKOZxv64RNBvmdXlFc2kmF
oy3a6mkhZWspf6SNEcQ9WvmlEuTZhNUHNixx1bUTGQxD5j77mIh3FoBxmEk1G77YsVkEGpEKHw0M
skwsIqM6aA/hdRnqL7dysh1e5204YiXp5ZxiZItP6PDd7TgXDHrdKgtYOD8lyVkKXnNpMQy9H4l6
JBtaMtptysDhIAnyosKm7Fv2TVlPa28miJTxZQRxZOAT28bZljXCILor6DM11r12lu+1QTJN5NuX
psPgKEZAT6GyK8N8O7U19gcuWVBV/k4xwAs6hwati4krkmE33Uzt0FyZw1m3G8L7CokG2/YVlV3V
2kMgSBwKCDZjDI2AfpN5lnXO/+l3Pf0nI/MO+0ZiOQfbpJs1RtlsgKINCEq7ZGdNsUTrNdOzOaXE
PJAO27COiou4wPjkO3m4RkGa7JapNTajpKqCfRXleFcM+7MWIzAOm6Az11DGkSqzPIiqSe70ksPA
LjE+kCozJBhv6bwRJaSmxXgTyGiE9tm1/TXMD4pAlKHdu3YRdAY1dhuD8KHFfY1Ag12ToSl+cHQX
n72rU5cc1NqxzshVkExVdmXSqjFRac3kmEqfVkY3l5FpGxeFVdcX+AsrJh4KIwHDZuRn5gLJe9Oi
7lyCzo9x7jJRU4pdv6pORT4yQDQxkJxnMRlpq4V0jsiy6PVnEkWu8g5VwyzqvNhlRoxkwIFzQ4Vu
m+uG2YbcOFzL5oqZgXdttrS9q67R4600er21o1hHF1FUoxhpzMZ97XqPjprFKHmursWAoyH0+05P
nnkwezqgAG9acQW/Qh4yAIPsZE0v2tt+bj9UaJbQ68BhIHPKO8fb40YmnkSoOr8BWTI++VFDt4ic
iQRgNbNwjwy7nTaeM0XNhZ568VU1dYMLoRBPGcEIw64neuv7bEDymVJB01tZXYNmcYVR0biD8j5t
yQ9ZLrOOFnklHdlaCNmImD/vEeKHQZLfjoHZuIR2K7Y1/7MCDFouJgZwIPx8ALrgNtxQZn/CXvrR
FfGVIOsPibK9HTRzpmKU+Z5axrpRdopj3iZBtc+wdJIVceWjjGYuZBDOapKWVJwFH2ndHEu1dKcm
NT/hTil6vbbAyJxHewIL6uvSdbOtRGW+dTXJIaiIkxOQmv4cwYAqeZnlpp9mqBz4n7ea+L0j8S5g
GAodnulp2fxdFCH+AZTvyaWP7yXmAfaIhV9KpN+rVjvih5tOyUUuh/wSI8EN4BHggdhOsGPAHO7U
V1NpkScrt9IM8uhkeF8aL7QV3Mddx95eOI9ZrF2GhONwyyKJyjJOQo/dbTJeLMPyVVsoQcglse1z
umS49lngXKNJCxw7O8cszey+z/z/A8uaAt6QCJvAsQYrQDQW3lHSZ9bDaCxohhjg9AdADeNHj/Hr
2E1Dl21iMpLxB/SaJCI0ObqvJLWkxXwWTltrcFpEP7wRzZ0B/25veXhPSBw1iXcAHpnOUpJuQKo3
8YDGiq0/X2HmAY6w8kCJ7oIpCnHiItSqCueCvEb3upYqvhiU883tlBxZHsG5bBsUP4onpTuQATIH
NVki0aZdFoz2SReJcm3opv1kegBHKMpafHyq7FhphSnOk7jFPL7ynBF9XjzCNoiy5z5pyb2CK/11
dsXsdGLNZGzyhtk5zejBcYbpYWMrGb0jBtriyeX3FIyzaPeaMv1zGJV96uYm/KHzXNj3XQN/KOiX
MkZ/1f8f7s5kR24lzdLv0nsmSKPRSC564/MQHoPHHBsipLjiPBppHJ6+P1clCl0FNNC97c3FVWYq
FXInbfjPOd8B+LZKO9VlGyQ5VePKiyF6NN1yidPFXWeD/atJKLDxSr3sC+GYs5+GEOCqD4um83Kd
TJrDPCUBrr8ZjYJlnpYD7WeyCQL6x9u0fxlzIRMgxZlEI/THiQsaJtjCjO3jHFRPEeMJXFFpR8am
tB6LXkb3k0XpYq4xJQYSHy/5N6eSzka0MfXQMQUbPrVUgezOGUXHltdRhkVanb9CcgmN/dP60++Z
9f3IoJqjgi3mY7qECQyAFqurxVU2paJvgxHprgmKabsMnbcPSN+to5jj/ZLEfMlQxM+ZF7/Fbhhv
237kAYhGlmcCSKuxl5oQj7Uk13Jq5i3VeDsLcGpaKmdHW4+4S0iZbQqrd/AY+OnPFIseaKzpL4UO
mENbYJupOMtvyXUkFk3VSuPTRsE3NG45C7rg3VBEzLS8RoXhgyzJ9JeKD7Zoq+hSB6begzh8xRNj
vRCw7A59iB7CUQNTn+r6fY00vWcFCs7cs+MtdnxoioPIN2D61EFlCGBJFj5q0Elb7qryYeJ7t8eC
7ljRmUnurVyl25yUAqAh4lQYhV1e+FR6Z44L+jMNbl8qcBGP0GWqH1XahFt8yhoEShWR3PXt4ur3
C8HzsMj/6MlTR4st5+iYcHzPAJJuBtypZjd6dk2bHfWltPrZ0R87WYaD8khKZH0hGkIpdrTnDksn
WZ06dJNYpGLWOSriScWSElKRuYD2uvaOO9z0UIY9l2V4FWHK5y3UKQ5LRHZjsvIUiyF9jiHunu3A
OC905kT/FDpaIEZVAfa1Lk5zFiaHKqDe9k4xHzVGtSnDkOxa6YlXhYQqM3oTA4YIgMXbgr4yGYQr
umW5b5fzFK4TUcQ/Q17ZJMpgWdd8CVX5iHhvvQhfZYc00WRYpmzZV/ZsPqTXl+ehnbEdLhwf7ucK
WonQNI+detvOQzhM7vKSZ/P8D8CHktc0yPMruAZzDZP6hkFOVbLhaDusR472uyzK9RsuAfs+Sqrq
lESOvZ+FaelMmv2Rm3SnmOtKFPGSioKzN1nTixlLeTAVWGYrdHtOkyp6dHUdXMDxOWdIJ/6HRcM6
jsS2/nBldNS1g6DTx1i7MpL2+PGWbQviTvGcyZKTe8LkkBXPWSlG2XfSxgg0+SRYQTBx4BmjdFr7
uHq4DGukDXxziocJn1p5H4UktuiMQV42FQfGcu6vqreWo9/wE1RB5by6yoCkrbvefaFyWTH3s0Tm
PLJFsL+RaDIzCxgqfanhihWF1vTNVOFOudWyC4me3g+5zBgQhd9Z2jhbSzg56wxlhcJkate2TfLD
oaXYWkAUUorcEPexNczVvvTG7tgw0f7kpQWIERKUZIxa7fOOPySwIG1lPh2FXknWXMHEf6wRZe6Z
7pnpu3bF1D7NU9oWz5aip2DTN4R+uYlwwVtHTpxBH6lucpsUhs5dH9kB/Tsw1t5jLH4t5Ri/TI2T
/lmsXOzBwseQUUZKY4bO1k/NLJzPoQ4hSUyjKBhdiRCsXBwu2yxNq+e4tBIw2yo7WUq6360Utyan
FuIE4yY1XbG3yX9wjCwnii7pfWZu3V7nzmGtWFrBAs3Bm1XN69t43045S3aHXvyu+Lq/ad6Urx6d
G91LUErV30c4LlzE/FFAoWJKso1LOFFoFhnYPmqFhk1Yxj7l4wOz62Pj8BBuhtiKMs7tutv25ayc
VZHz9oIwAHVbsx+eawfsK5jVtrmPaa9JNuBRxAW1GBAQ/4D+XZsmPrb14H4Wy5jsK7rB3hpE1G/B
lYh4WNNeO08+QZzdxFOhN40OgnM/x3ALeA5pbVb2d+Yn4xelkhn2fS99yxYD9R+GB6C4cJafKp2n
k+nHeWfCoH4QTJaeYnj7UB/iKTrIDFbGjEGWE3Vyh341HlpNnd/AR/ht/Njc9bWlHmXSdDtgfXu6
KH28Ldl8QrZwNgNY+2slLXm5WddzfIK97WDqSOfVFLQQNPyCgvq6WzpWHD+6wEz8GuLkh6qt6Wlo
7KhaTW1XsloLLVaa3MSfIWj8dTKU6U4KvKBmFMlbF4TD+5jx5hRWhQG3iOFdT8q9VFBITinS0FN+
a/iQJNlE04fXluPsI4N5NMc0bf6RLvbqlPH1odK5ellM2J+W2Cayv/TjW+6ggGkrx1UKCPKxXjp3
O3fQ2ral0/R3UyTHTWcR0FNxmTwZBgAbFzQ1bIhsbB4H7qS/KBaVT9RP9Nh0sC5gnugeDJFqqDvt
+2ATz9hMgZg5HpQuOLs6vEFlZrHDRbt8J3A0AJXTZ0k+kTNQn4kPk9TiYgxTjELl4Ufqt9FXhK14
7zGsP7Ktmusc1/NXylnsvupjnCg66i+Dn+fPPae8HMqQLXeL1VgnV8rmEqGAvxrNeu839fCVopTh
OurT71kFwkMm4krtVMYnJHdzBpmZtytlV9kkBvP4ErKnBJjA1uBsbaSHfLc0SXapXBO9gWDTJ6+J
sjer5rnSCS0d/WwqLAlzjtzvOo9UAgkC1mbcWGYoXqa5EZfEKqs/cpzI+ICyFS8B58l7u2TPW81V
5GKaxk3L1LfsQMFoTGNLxDCfng4XvlyB5I45Nh/eh5bE3qa2ZPNO5h15OAgn55mawubF74T+zkhB
TjiKhrbaTGFbfWhdRN8jgiI5/Zj15Uw9onpcWP3eFqgx6o4EInIa/TdQVTP03e+4H7lf0SLs/jKq
Um+1KBfyn36NLujQehvZ/nsNTXTtlX19F3NSu1U4zhk/UIb8UwXFLjW+vDJ9draO6rwDn6R+6Bxt
Lktu+u+hHMzZgYex0pgKtromiDMP7rxbKIu80wELBhH8BiKone7ivLSuHrWyNM+BJ3T8dc8SX6+r
uq5wDrRqug/hS3sHSy3IGOgsQB/H2HmruG0kxDSn9I+xJcj3zp638Inx6hEnjpNVTZnle84dkjlu
6h3oJcNRwl8+5kwgIy7UItGyJH5lmH5j2/sUYeq8+FnFA5Q6Cz8D7XrXGTWOaHccV2+ybP/oPG0D
whtzBY84mv8QmUqOiWexDIEEIjAKjNYzFomsKf2Vxwy2HNxWgz9/FxNyZM/WvB57bCvwZO3bYeyN
RaY+zZ1+tqNR7HE5W2cMcAHfZm2twCF6G4Tbu3wAEZ4MwbVPtXyI3Ki8g1su4O3LkinAFOVHr6+q
8whd9phOM4+DxdDvtJTdAO0tcW/bVLmjpLbdhBAn2Ko0b5q1nKdhDi4pNO0NQ49u74QRYB4en1+N
cysYy6u65PcX7Vkltncx3KDI6br9FULQ47wkzp69ebzmkVVViLYuMrDljfvCCuUqZyj1QGLr4TYT
+rRVJJtV2cDvwJNTZQ+c7IDhkzLMLomP02INWAGxK7wxp4aMi+fKnxbJ/G3pN+6UFG92QSMDELtO
PXE0KOjVTPLoQWSpvepHXx96mSiG8266cTUdjkE0814WoCKIypcRJaCExtj06u4sO2aJlNWJ6L2N
kUd01+jPDF37ksEyxJ+dIDYTcPee3HRoLy1/2rpu2+gxcWz3YjfAEVdRWPvnIQz9g1vn2Umksz43
vd2cU5kGV3Iwza4aURo3ouI9nbXpHxiuaXywLlUcK3gu+bY1FiDhRTYZobsZ1bkl1y/o0VtiYf/A
mMqPBsbbs2Jlgio3CGiOzYL2sAQkzjKQK51nLw9E8ojPCB/GhpOVwWXK++ZpsSZAc0Nr819ZbnUA
k7l8T6bwT43XZK/Ka1kFp1q3zBvRRRqGVw4YyUY/cCcQbzefT72xbcOZy5cHV7OZQVBcxShwXPcc
YOTCeg16o0FbQr9y5jLm28SRsc2m4gauFOAK5sA69oVqTlYNqGwGQvhlpxxArLgGqlJmYPWwZXBd
3+dO2T7gTex3XR4wVVywNqz4JbWuMijvEEPHnUvXqb+pkqyZ13MQ9VvpJrzjNfLLWgVztB/yFnBI
jgPv/gYlfsM657wFYxVvimHOIH9K3Olro7KUco8Ktglky+Yl1xzGd6mnkeQX32TVziqY5Z1NkghG
sk1NWXLJ8GNYJXlsvYOg0qfATjJmzxyi83WSZOa6wFdJz7WPJE7xNJYiwOUMexcPGMmGduDhTwYU
cr8Mo/rKxaKuwRTWzs6vCqvdZplS5KDcmnWLhgPC7EWBN5LcQuASSpMckcfw5sPLoRK+D/TF/jKW
PS/rkH5meZx0F6nTwqj/JZVL9dG60bi3sqp9mPA04onAEPRk5ph+UTGL4LHBG3t1jSwf2G4+PdrI
Ebw0BhQ84V9W7Sa7huquVUoG+aQDUb5lQJEg5wRTC3IkwZdbOQWDlJ5mr4y8kt1M9yrVtxBsHdbP
fW+mDS4gkhFAmIC9Cf/RnRUjhmwMmjtodkQg+tYNfpga4KiMKwS91Q3zu7LQA+XG8kcozF6F+6eL
6+kjhUjocRkR86UvJYVYyVOKNAh6qcJAkAOAJKYPES9XXU4Ay5/ovmAnOGi2mRJ3StL/CpJMQyCY
pwGGRU2WgtYpy3sKGtfFVTvORQjXdr6Z+FwmtRtTY8jZuJh1d2wj4rEg+vDkzmJ5Z3A+PllqgBgb
OsjTQD73vW7cVxff5YPb9HKbBhbKNl3HNFwUXkaQF8r8th4DVMwmTz7TSRXn3sL/2lkCs2O5OImE
bzmhujhOwT+BaBLISDllrXv8YB/z0lO5oDhc7xK8LHB/iaxNYYcTz5dUxq1zPoinmgpRax0jX/9Q
WIE1L5WO8xxHDHrRL+3yOUt9sZ2siAs0PBD4eZXGzxomXKQgPnv3Xe3oaxvX9lWMbvUwW7QorOYo
bT+XicQvllx6bk0bQDTVNyxqWt0CZWnfOq8KqN45bUNFyVCbIh/rgfknAO3SP+E3jX6nebl8NyEv
z3ZMOLCh+bYj9ucFZ6+aXa5xC7aPd542Y9aQ0tkJmHpOD9p2o9+j1d8WOF4iz+F/RJpBAO7sl4st
Kv8ETdzex22pz6ztbEA6tH+0HHCUhbSy7nFfW6/KSpsnTPf+ia502tZg/xxxkw1/9CDTveKxBesV
hK0PBW+a/lFZBLWoGDbcIYps3au+OlRy8U8e6/bG+HXxLCfjnSxBIcRCROCnylq3WS9qlvumsKtD
BseCM1pctt9OY+sEk7ZfX7kiMf1uKv2aGzd4Cjid/V5IcT4vouMfHesQiOP2I765kjsdzcgdKdZ+
8s427kU+w+dq1P1vdqAyoB1uDF+sxXGjdUW4M93WOnkcSl9f6zr3UA9YW6CPEno4h3bfP5auX5wb
h9/kRDUUMmJFj2qqmCbgLBu+FsZqtw3ZiEswEK0CWUY0IgY+dcXNmWfrJMxE84w/bXmaciS2hMPN
HX519YS4VR0L28GXD3FqLfIJZLxpuWrIutt2nQM+MBmjh9LM6sRvix94u61fk4M9n19+UGFAXwiF
6t9cmYP7wV+Wx3kqf2jk3pQ5nI82qYO1oJPwovoZqBDGgj1+LPLJSfg8Y47b5qoAYK0YXR4BlN1S
CeOUbjNhqxf3lokOlc/LMzf9RhY3E35n6XFnuL6i0AxMOKy0jKgQz/ovP6nVY2TbAImkO3VXyYGe
m0DhWQZDH7ucmabmBB345lEB4PsZ09h+h7r6m2pyCq6bXnsPSSz8y6hq+TQxzviq/EB6qxxsWc91
F/kmGXiaRooTWVWjxzqtYJPYzBTybhB/8GsZC5N+S5e3U2srXTN27xyyhONcrj2OCOfB8qt3N2bL
SsqQI0vChDN3xJiuJGpLjc+heUNP7Y8ln+82afv6MCVdsLF9G2zobAf13nZBw1ZJTNUPrfHll3Ij
fUE7HLaFmoM/BrfxeaS0h1mwE3zafoJRaB6KwFrntglPMDY5yPoZupW7DNxghJOMZy00o5yydTcB
ag7j3sb7bjxIo+uk6C2SgdgdJTOSlCaxnPLCyWORC/22mVa9Tp69Cs0HGOL4kvqT/KnHefpFFVb/
0k7D0K3o+r6t/9hf7lSYkQpdSI5+tTn6JQl5Lj2MSDmaLCV3vJXJWIzNACiFZ6gHGxXnfXIB6Gz/
KlwvKLdjE5H06OjM4pIWqmOEY+nMX8paeNQBSiSNa46z18NgyKq4JpXsNbTlxIIyrSwq5vcW9yi6
TXKraW/Y86s26bcRnMEIa9Ath9f76XLB6MLq3Y8iP/khVph4Ame68vLZ/x3a8HTIQqD44fWq2a2I
TEa0TIZAdhsiE5gkezfveczZxVYgLDLM+Gpw27twmvhj8lzGh0jXdbgulXTgw3foKKLKz5Pxp3rV
E8U8MmQv/Y3X6dt/MPLSrShQE69oti5FSAii/rqkheunNWl136CgPrF5cXaBajWsIo+t/djbpZNv
fLFMH8ybxbbLM+slvt2uyqBfdkMcTv1aog9uR2x5mykt7EsQGvGTy/q2iVGDYEU54XzpDCYi/lnT
isJw+LyUtkMjTDvdzzaKt+vchuQl1kNkGgG7QDm8WZSyWtn4REfmo0s/ELdr/TFwCD/NUVUcA6uy
tsCrNMb91vzjNF52gUOa3ovb6hwvVLz4GHzvLNOIdWT4N/AGAEudQdsfttWm95B88gtJZoL0vZ0E
63YymiSn138kgBOfOmOquzpvqYpJHGsrBRzXwvFtKOrG38ZN0N2VQ508REubdWuYiOlmKMblt47d
5BBDXAMyUI8HzuuMiSHdef9RaPhv982/s27/Dbjz3375f8Pf+f/OG8SrLGjR+z97gy7fCX3Nmp76
/5Ke/Pfv+7czyP4X85rQtlXoBfaNtvOfziDxL+WBjrUdLyC8iMnnP51BQvwLQqCNWxAxKCQiyG/S
9dAn//N/ON6/kFq9MFR4hlDcgv+nxmbH/mvB+S8xRhlI6Tuu6waKGmj/1hv4vwUoBRf0qRcWwh2z
MHNQDEY3PJ+qZ0tlTJj3EHb6ElgGEyHDbDL4a0l1/rpTLd9KQYdmARd5sIUf5QyP+t7gOqxuxyt6
rFrl3OzI7pHl1oYd8NcnW/z1zGKHKZonr0vTdwuaZPxM4c5YPzFMZXoL1a0nYSKr0ay6SkXkhoux
Y6FMmjAArabQ25XBob0KS4HX9z/s5jPDNuDfXhU/Mudz/ji0qnNfVIKATz6Ex/bmJhY5129kAiin
G7YU6RGwcdoc50oz3tl/Lcreza2Mk2g89WhFwabzahPdR38NzvSZ2PmVlfkDXv3s7FnwWcZaX5Df
GCPFMDdNOH9SKiezO2lcB/H8r+WaUwsrPX5V9AlkZNzWgVWqHQ4JHNszB7RlPZos5UDvMm2FGiFe
VavdO8t253i36MAUByrWxvzUTc0A3jbWSLrKl4yOZx0W3DxuHnTROzm2QluCVCGOsyGBj23xZmD3
CwZkThckT9PN+q7xwHtdz/hOc9waNnlYwo8POf+t6kExIpJF+s7/G+lSE3ePkWcF9dED1IHa9Ned
z/RBXmkjW+JL9de/r4pBhis8C/j6K5oUJ4LtirMQW5a3XGTvd9Yp9gl6rG1Kx6xDR7z1HSDcOOyH
Jo7oFOymOVx7f9MIwSi8x2qaHEjnLMjVXWD3DLtMSNnkTQxwDiQSyTloYqXh0ZZ50pwJLOC+CBQl
yVvMHNAo6CDoN45Lx9g2XgT/3v8NV2gX78JuznNTHG2g5/OWYw6VTYnfKIFzs5ledJJYxQGEpfwF
kKR9ZdMgSBN33U+tI2eiJmVEerT/BkNMh98dnHMdQu60h2OM0hqDpfAXcvhWQCmxBe/7dDMV/WpC
Z5gOaP2cEGCSaDJVIZHR9cxd9OSOPQartOnyO6yMyVOX+o8+c9ZXrQeMNn1Eg0Q8OMkpGEdCttop
m/egypwrVnT9RSGYOodefjC16OEj80eL56gzGGxoO+jFC9QCfFWODblwPdjN/JxW7vJTJuVyMZ7d
jeuCfcZ56NDZUAPqXIxbwCWNgSMXlxfm2mBJcehxqbQzU34y4GsfEGyBJnVhg8Ad2SHGKMtz5Us7
J42k3Ig2oxvnwO231NB5d/TtJh5nHODYDHas2DkPLmvCSselvHSNMxCPS+oZs05Wpl8gFKj9hu3A
0+6gQ65xDQuYCaCkgUTZ0Zu1FNGeoQrB4omJbtFY9C50CYPfSE7voSHp0OosQItBOfmci5j3BvJm
/0DSFF1alvW5sgvzomPF/KaYC9YCKopOqZTuI/lDjHUydLPDYOqSDk+noJwDlmV5wBglX50y12c9
jzGdSiIJtxTbFNETM2Of8IFL7gMhrx13ZHeSX9Q3UCmS4c0xK7TTgcejaF9SZbtH3MOSc3VRMZIl
YevS9uOr4ocisu7kdgvlhCRXlrfBiavfDK9NuDOFO8V79PmAeBIJBPTO0Wylicf7pK05BuNF5YAa
18X43IzU2OE4/Is7w1qsyVWWLSZ/ALcngw9r2AMBwbGgF1rZNzmOWUKXEc/q2rOpzjGMYh+wtdUc
own6OHHkV69Bxg19M068KCuKfOwN5BbP2/hsg8Hv0prdVcGiv/e6kcczeV9Sy/7VD4WzDUSdbUkR
dbtwSKjP1GSgWMLpsqpJbtprCjHag5KacJ3GHMuyn8f9qaWvsnqpGTfJtUO969bINrqWs0X+dc75
RJUYfUPhspOO2wKy7ZM9IFuuBltgnQ58T1pnuYjsW5moNoc4tYf8It1oWQcxSw7cCrfcNiJl6IBb
ZHgEWhS/EFOAt2LiyelX2k2pNXG8licx9AAPrcjwjq/hzEiV9cpJI6Sctk6Jnkr1BHfHEmvCyWW7
TgdgGowgbh5u4SXNNW0FMFzWBox0mOIVpYFkAaCW4rmgDZd05rZiNQvXjp9O57xPgW5FcrGIykIV
4FTepGvD+UAfBGUnzJ1bLzxUNIH8KCSb9woO/pNlejg3U5suv3N6Jmnx8j10hykbghp1lsKrNWLk
csR3k+cHTYcTlrh0bmdO+YuQsIpvH0KFumSPeZk9YiycOSB0rvtNhcItqFhVzctNvLjUdjPKDRcn
LokyRz4BPUygCzm0vJ9UnV7dIDFv40yoIZ/j0N3ZFiwE1JiAfDJzAHPJw2V+MYsddDRskP+5+aZa
ynLVEPzjj3I+IBc49xGY5FvLE8XuwChzDL3VGC81aGOuV046JdEDcvI0HyQ86hDvET4CqpjwDBEP
DD/xnHhP1KufWzdLkbj68jpQCnV2MnyWm4gAyN5lkYMaZKxDxvXilq37hZPFrJkF0nNiY4L68jpy
muShlgDf1kALS8PgPJFT/U0MGEIbcIP8aE/AxlljbtmIOHue4a2ui5F51WbuSoa6YGuuDE78k9P6
ttgbl1BWGePzKIh+rxonvqFDI/goN4EfejdNd/gpPDKNfrScrBZfLT4V0iayIIX7lTh9fKdMPq5V
TWHnVNoDTAEYOquEuxadDvzQ+yxmPrjCo43TNonHs5WMMYhEimO2lU/HDgXEqX9vaMfFuizjHzmq
5BMvy4vlsLHSURxTrukbKhbSiTtqmSgbUKHvN6SHWIu4uLuLMEdZ9epXayWNvXeqQlgnk2VHRxJt
EF0UPEmxgCoFm/NSEMr9ojZVg6/OWvNHBX41cjbIRfmg+oTkc5KNFpE+seSwCQII9bYz1g5Bmnz6
FYs4/EGLSs1bTWL6NmBz6p/Wc+3uaYyE72+xjPjQ7kqSWHdp6PAxxnE4zCtpoubHjcHpc7wRiTlG
ZCVxGnOcI8jo1GV4qtBpn1s7IEOS5hYRt1DX7rGeVLlc3a69Gt2go3tda26N5OP8NNPcScPGklyc
fkoPqTdDx0smbFpdwpbVF31JYkkmU70maMNrwkG8f0yXLjmWQQzQOLPSQxSO7gOUTYRDaE71likh
Bvi6KbahXcTs5ZxBfjrpTq9e5SfbwR/Fxq9JR7HwBm+WhW18ha0+6I9BVajqm8oM/IostOELpWoS
nyDzQ2rzuuphCHX7NkyEXDPiv87JzefiTgtI8euijZ13YUsHEFVn3Wtc2dh1TExcjp4cBHWGAMUW
J5a7QpbGn+TmjfzNBlls2LICPOmB5b73kf4WXRuBCDMFIl8s8uYPQb723Uk9rM1OmPgWps2BA4eV
ztVbGw/xy1jnhJCwClOJyHnxeWzRNAOe5FZ84ITBFNkuxfi7lzTmYaJgNY7SLZUn8zdQbLUe5uQ5
ywUgaeGy8jP4ccMTIkCoDvbiGDhd5I/nXVlUQ3af1nCXN+Fo+dAuJSLGQTRaMWdwCeKw5vkoPrZT
BfEubYdmp/3WnbDhBv2LxuoAlVHE4jnNcidlgstWnsx5c+1mHdOO1iyQ28l3IqawzW+qZRge0yCV
61C7zdkutLsTFqcCFMZ/pFIEyZpbKI/hWeYddUYy+b3EpURSFZxRgqJ5s9wvru1cMNgOj5gA8HFn
zYqBVbptVTKd7DKkS8tWem00VTrDSOHtoIleMxPzATi7iefdt1PYX0crWvaxEOlHw2eLM/7Wu+Sq
Kq+pPAsthdUMfPTWVolLHxNC82fSEyc8Ue4BqGRwS/91dI2yN8zZHXdddga6QxH4FKGx0d7H8nY5
q30N7liHND3ipyE0UKdhxlfoLZ9uiv9G8FMotJoE90vA591spNvovXQ7Rm0ixjKROrl8SBPoFhxw
WWHx6XBYZ+J+itx6+qeM2nmnKAY74uZb0gPkE3nh0hBEpzZrxK+sbtxN4XCd2XDIIJqV4DMh4Uqd
yBfwLQzqopJS8C1G27JoiVyFfGM9vgc3z7a8zA7DerwGv3h91Z3OC8QplFl2d+j/jMOSpGg2JiEN
gTuecpLIKx+EzWFoGyGHOifs+pHacSO28R6lVsatiuuNWnPJXfahzMWXh42xXS/9wP2VoJy8wRnw
rnBRCtX82kUaPrPVu2G2o+Q9+TFt59H5OTifmLZvUyKvO+QNy/wiyDeuvPnGwc5BLDKQxUTi0YSJ
p5TkKB7nASNyKZT+khblj/jnvL1yuuSNwGERUC7SJPkuygr1hPG61qe2xqGx0WF069dE//rbkQgi
d4xJRxoRc67x8Ig8BE2A5Tbu0/AnhVf+7FJDm4QheGsvU+S50fV5dBd/R/TThh1oByfQ1WDqZFsd
myltHn3T2pumI0OyZW8uiu2cDvraRSMB2A5LwyatUv076xPV70IR9t3B7yvKHpyk/2n6xTzAKqpJ
vAubJguvhg+/Ekhc37If7Q3gfOcP0dTlCm6JWVyRqjs4MYqENjbCMonA9hpKjPzQgz0JHX9et6U5
5FL91gMHnlzFJGlEBecn4ZYkWnuvs4ITr1Hu+7IkPzxuwAlKpquDSn8Kk5ZHHeGhLVKmxmXGCRmK
0r0sreZUepofyNTNY8A2vEv7Lv7iTEFnJYufepb5ty08bwv5yOOgX1FMTL341pG1d8RoiiCC7L/v
AjLaLJybutbu3kkr/2cA4nKI7E4e3SY/LFWAiqCGHBMpKM9dVnbuc+c4t9rowP6FmFedGXSO38PN
my+jnIhz2M/2dCiAwcdbFsnx9zKogTFz7rTwSLwAWYi2wlUr+LuvzWi1316OEL4lzQT9eMB/RXuO
gzTi0m96awGBv8Z13zQ5HE93vlfkgsHH0mJ9N4KTwm409ss/c6ahIOecINeeLIOX2VPqbhZkrRQ9
3tyJC0KkTW4jtcrsn8Kaun3Xt383kw/wwINDV543XLRiEe1VVmfrxvW8aF+CJz4gbO3bAvsulVGY
tMiJ4orF6vnKcbcFrkNJ03r6e+cg079ptZf/CdwkJHFeL1eS6csnDabqWtXzMK2Qn/W6FZJej8qm
9jb1WC6Z3Oy9ujiOIm72CebWBxynDn+hCeVCeHXFYYegzc4dmJ/Hfu/dmYL76eDL9oP0z9l3ZmAM
tud71yKU/aEtu+kJ/xmDIzspA7TW/KMtXPsjskss40PX3aNGOVtZ4YFrPGLmhR43DY75NSca7xG4
HuBiP01PkEiJZc0DuEv/nmD3uJatL8+zJxwOUuFCFNltIb3QV1SAHIDREhOUYjMmMGNzvMOyd8dC
lW15ZYL3ysKaCB2rbdeVi55CFvsFflJo9imO1xelJr0bdU3QtQ0H7yGIMdmQXVLzZSysccuKi2fT
rYrd3JPkoUarEefJyZqeUBNZtyjRn1YW2C+eainGndpFv+I15LQX5+57O2X2HguLzbe62IdG8f13
VdxvfQ0M7NROI8eQMRk3xvOooJFL7v+aquJbWfxFpho9UPVL+Y+Z/WjP+lBf22UcOQ5F1n3hYrGS
0fjeZ2ysgwOeOy6oYNh7BBXx90zXpC78+wa/Mq45rgOATROuN6to9NIzxKzq6NsdcY3efURzGNfk
ZBYOZNH8qOSsEMD7ee3o/8XeeS1JjqNJ91X2BThGBYC43NARmZFa1g0tSyS1AjWf/j/RPfZbd3Vv
tc1e78WMjaiuUCQB+Od+PMfyjXCSkvoCPZt2RzktaFNztcgX6RbinRLLNYNbVhJcWVeq6er9zHmD
HDobWxAtYv66JLn3zNzf/iRVh11r0eKuB2ubSrF0N7VFghpGLgRR/q74gFPrWyMct91aXjsd2HrP
nzET8rusFe6hYV66NXZB7taGVu33cJ6HoKNLeZ7bmJ3UIiLImrbCpJClCVnvgEPLve0VcCBE6bDo
rf4vcvxbcPmfIsfSccjJ/s9jhdcfbfdfqx9l9JH/KXD8+z/3+1hB2/+ySS7bvq2Ug4LvEWL+HcoY
iH8FrvYI22rHs/8EZXTVvwh3KlvbdHVzDPoDlNEFyuiTYA4UIwriuv5/FDi+zAz+NFPAOKRdMFM8
WtRfKevKtyIewjLgBNRnuwZQAmKUTDYiyRDvy/n4h6/n3/OpP/K6/0J1lxqTkuP6SvGNaD7In2cY
qTvR/WNrZL6sjdjgZunFxtzcD05ZbyfavzZFuBCv6flTYEjmgVRHGoseE2uYo7q73GbU0w6bf3hf
jGl+/h58N7ADn7GLq4X6Kf58Mc756VwEe0z7XzpK8zbOiO9fQSNwO/+k9ULJCz7mXZjksInmszC9
ffr1mwC0+Zf34Dn4IG1XEv0WP70H3G4yvAg/+xrT/57zJ/2YWCGefv0qf/OLs2UO8Kcwr0KY+2mK
pPiSmSGnwd6rIC1kyH5Epg9jgqAKPWH8hy/2bz4Th3k+jY9u5XMh/fn3Nq5xbIYdeq9LJXdTQPFs
2tfuP7zKz+F1rioqLQLNrI3oPCT4P7+KG7IPGkWo9iKm1LGB/7iiTPBhKJJv//GXx/xPIknweSAI
/PRC0Ir4Ri+Xb5hgLIXDAhaI3UrmlXdemt38L14M7CeVVBd0q/3Ti0091BjV+mpPKTHpyMAhKzYw
FacRMF9PqTz8+uXcy2/x07OAyQlBbp8nAs+pn36rhAnmYlQEv8TysxUnRk3hTWg/5E4sj1URZ+xl
GrmLMTAcliql+52ZyldMwOVqLImp4Co3e5r6ho2XSXqdbAGoQHpBvhECG0/n1myTgrgkUt1Txb72
CiwDK1MvAAqrsRnXHBYIX3AsGVZ2Ku9NUZj7X39G52/ucy00Y0S0keCv1yMSlDsKRhr7qIzdY8qk
7DgzUEExE8/WpVAhDZmImeiTqUDNgD9zn9Dfgn/4qv/uemVY7FLEomxBNO3P16tJ2TmIMNf7nDnc
cfIJrTKVZtyDb/nXH/ivr8RA+2KDC7wA9O7Pv2lc45JgGhTsVZgUdAvAVjJV8aWNCUn9+pUcQL5/
uYCQv23HdsleeOr3//8PA+qmcDxLuQBwfAwf22xALTM88e+wXk0P0uJCcJvuCZNUsU1Bs2cb4JUN
jSwAD4ByT+NBt9SuzUpdwia9kI893qoPMTTBgURDl9Mb3c+PCLb+NdbS6iqLKSwuTTxDpHT6dNrl
gRYkuTgU2YXqj7aeg0Md+5JQALkyq6FAzhhKnz1hNIGe3gbEJhgwhfuxoyotKpzw3MepuGU+MZGQ
jlu5jZCBMfpRQMc2P/0grVgcfcKTWzvXy2HWlObRJ6+OWdOpN4qD/dsRuf+wtESVLUTLldBGYhN2
w7OTzhuNAWmbhzT6xgL2N1FMtPKpr59819RvLjOID7qcgZvFgFWRqxosfdVIF145zLtSl/khsbv0
0bLr5jawi4DpH5G8TWYmJv7T6DUIRkN4NkMcvsSaLegA7v6bHC+WH9q+3jMrfUXwpcklsypJK7wB
oGS8G1XEGzSRg+dbxYHeOjRIM0Tug+MEUG+8WAZXtu+1t8uALTXqGrlvG5Pt+ThwBwdMViH6zKa9
lLedhioBUcxTar7WGOMvBYNkQTa47HtFLACIfd6Mww+2THwnGEyv4xgjVZX3DsnpEJqv8Fy4/pXf
vjqE2F8EwCHcsQLlbxUaW7+wbZtpcSt1R1S88GmfJuY5NkAeDCdZqIay2FaNHYLriYCDMMNh6SeG
gPufElX/MkIfAqTEiBbMEjXv1m0vhonBasVHKDOIP/y2PIQGaFN+LcR7XLscz7XrvwM2sHH/QUW7
HaLGBm00ZLxO0NstUVkqXnly+rMhIVeM+oUkQ5e/gKMvsbnaVCmIlM+gQsEVr4nAP+ZYumEPxCMd
nmxxTkVr1qTDaTSIiNqsbBBk0YYDTJjuAw7etK5n/Xztgg0+LbKTFXCjceYWivAKkx3buwsbHEaa
bvFVemLQgHpJWGvfUKWhUUy9KOsPQ2hPZ7lY+HLptdf7ivQK42+Ehk1QhjdZP4EX8yrmYHhCeb/x
SCIRLzLElTUKFe0MFtXB1+5oICA6zYnxprmKurJ49MoR92Ey7yYy4E+uractSbVu1/LeDiP9NTvd
dPoQCLvg950AZzMKYxCMhsdAPu/lDqncecESq668uflBwLXZJj1oMANGlJYoTTZhiLzmaDkwS6Ay
umumilQCOAtpEwssx6bJM759gsGYV6k+j6eZZE5pcMn6YDC9Nik+bBOllN044yHwTPidclsRArca
x/shtTnK8xM/0tRoM1+yKOmYh3hvTazCbEUZu5CHund1Ox+QpYu9aXuCQG7k7AIbwl3h6t00sEGc
FuqIQndMt5NCqjF96qO3nCKRBGSzgqZbF5x0f7RtFKzDNHwmz4z32wDZtiiYvcJsoj/wu3vP7iKg
7UeRBzUuNP0lnRoeXFtUtGXB058EdnlBA/cpyZxhI2s2xzjX46uoHt4YDxJRqGxiA4KJ39j3/cGE
S3nuciAf69ofl01VUocTgR6gm8HC48xYjlxfwcbbE8tN6zXxFk7p8ug2qj3XS5Z8pSOqWNmkfdcs
88m+abLprh2q8cjYLnyrsa+uMO1oTDE+nCAzW5sSRPE5Qlzu0U33VXtp+S5DGH34a/PigYR1jj+1
kMex9zi/I41FCyyinGbxXeXJ8QcWkQ5nZI3xmXvNct6YoHpnP2/PI/oE2Yw0Wk+jPa/RgJzrvPNQ
ahlQ5DuTK3yEeTXuKl/X+DA6DhRATVb4aIcHsvtlsjM+ROu8w3qZltYn3barYlTiiU3Ssu8bknyk
GV5GSYTbcaTYjoy3zgzQ7uvEXHspAQDlWFi+eYLvw7D8cCqS9CBhJo/eriSCy9v4ILtbBSQ0WXxq
JUb8jf3o3TRjHz6UdlhsFfjZqzTwz35FxFAHFkltT2LLGfvmC3C5YK1meKhyXu4I7ACIH+GqrCRJ
4jemTNMWLWzeEafMPDgL5NwoH7MwZFVzWT+zL5vuXepfDwzzwr1Jxnzt8LC5IQtQr5zG0o8xn/fd
6HEwm2zKzaV+uJATj/MGDIaD10RtwFmENgKwyYatrPhGGBws6i4XpWRmx8PrdYhN+9W1kKXhzmiD
uYbsRbCTFI2uu3b5nAG60M1+SXGq/gMRBJPSbJZVFyBQpb7BMSA0Fa9z/sCzf2Pz8LnhJmz2SwqC
Avtd9u7aXnMCv0ImoF8WskYXPgU9l7skAY5A7QC38WiuzBIC9cv9lwGnwCbS1rOXj0C0WOTvJGO4
XYttIiM25sBpCOXIlZu1+Rp3R/PoSvtRJW1zqOoUwwPohEOHDHqiM9gHMNeDzqVbkqd8XwK7EVwU
Q+MS2KtyueeRYm1DQ6XjWAO1mLvCvYOsl2xKOy7fq8Bvt40vtiHQkStGSYhpra4+WZDwp+OuPyzS
Hp4jh4HWOpnE+MPki/BXFRTDTWraZbUsmlrPXMw7C4vXAUxKcYRL+lm5bnWaKAl59Bzd7Iw93yVm
yE7zImi+1h62N8exhpchy6JPsWRmG/Pb3DbYv49KNLSS0gf9sIicLu2C6aVu+huntKJdngBAkEGK
HpalfXaYBnvajylgk54SdBLi9n1DI/wal5a7W4Jh2i2hwCIT0Zh+oqHdBpTs2jvH67sVhIhlR/tp
duXPCXPeruiTcU1EbSRuDonLndz86lJz3O3Kjm9EyzTfh6V2jj6e/1Udy6vM799mM1XnqZpuprxq
vwuq6K6b2qNnwMmnNWfDm96r2q0O2/bDa6WADtEMx0LM+6yyXhi+YkfsF1Ac8DvKUxUWiKj1BGar
l8Xz1E7dDYAjLPEsggeE51M5F+bZr+NgVeIIwgE2mO9NOS6s3GwKcGmDo8bJi87r8my+CPQ3CsTh
PeTxck0gCtx+4VrZyrPzaoOQMdzhvn+tmfpikeivY3fI18U8bquY5zbBxHqb9xOwTHI29AAse0Ld
ECwwzrTEQ87uQhbBTZLkno09in2Uhhtgmgz3Sy9woeWULy1D6l2t6AHI7G+lTA796HRHYm9EhAj4
EFJUcEhInLL2Tf6hSwRAGYtSUQ0xqBKKrtZ5hsZWW8FJVwDNXCDZB+iowwRqqOnh5XOE2pQQ6/ds
5bNtEAFmkXEa7mNicHuP11+ZQnzD7hK+qQJ7KhbHjT2iuC7pciDW+zx3bbBqB+L2Vv8SpO5wF1Nk
zFf7rjuLNTq2vgVJ9eJ62blM5GM0sEIlhXNL+O9HlP0wYzDsYSZgekmiJ+aeDF+bmjijuk4EzHJ3
wceh+vY6N9a14QoCfaGzfTh6JDMmle4i6EGsUtg962HvyaZ4XbzvSHH5LnAbZ+2MacGEvSYeK2aL
H7BNnvoqaXmKlc9mCV5kk/Kv5iOrwy9TJa5jJ3/3XdFdtaSr131uSIsV8XPsaliWxdMYpO+l2xzJ
hNEC25Y3nsx47y7AJ1kPxHmI5NG/VBFFtvp0A6IVnGvjMvUdmx3dyA8pd9WRFAV0Z5syoHljBY1Y
QcwgPTdgS0zj8CDpGrstdSQg/Kv2R5fnGtGMyVRoFSedCLkbwnHZF2P4FUgQB3OO+0/dxSZ1OeRz
y1KO8S1enHpXAIiPwkLs6NvIT3NGTZiLqeeylZINUUsSs3FOzWI7lbSjO4QUdVmeXZ+gRFtO7FXq
EM4zpsu9FXFEaMck41RvsYfhA6curK/JvXQD+n4Jh4/fm3MrVd2WeqSq+tb3xmQtXfNlKJZd27HP
p4mKSV2Gx0mEPPPxn64bTz/Ei3f20vC1m8ubgkzxqpz43SOrtslD5eYYx0vNol8+250/rc0A4W1K
67fUoWIZcBH+weqrsvxXmYO4Xgxr9ly3/Ggme6ldr7+b86F4mRBDqeAS+cEQNj9gTau2DPvnVY1b
8SMZ+m4f+3RK9QgiJ1VegjGqsTZNMbK3VeZLScphj3mAT2pDFinS4VY42AvjwgMb4uX9p5pj7zap
JnZ3ktqqmcDpziJEAY3ZPpecWXYp558TLb5sjmARCtfcmY4DhqiD5i2uLbEv47DfI7E8Nj1jyxC3
hxgi5kpFd9s2FmQGnh1bn0nxucLAyqZ/4tycOKa5WVxogiaZsh2mBNoWSvPKZJ0hSUBLsJsY3M1h
B1xhlNOTa2F/UiXQx9EQa4wIXX2b+FAnZRQl5RM/qev09cGNrZ7KwdG+qZsYbhfUu1PRHLAZp1u6
y92zPTc5jN4+PWde4L+0TiVfgkn8AMzsAoMqqbJgqvYKOa87lE5qPdb1QOMf1/ZdZ8gcQt6Cvep5
1r7u4mE/FVO8Hkn53oi+LbY+Ms4GLgnukAYXLcQISIbs+1r1TOEJFPWIhmkbCyPlJ2h869xrQeX0
cd0f2wI3GSCc97lhqwgWI/sWRjHFJY0z0+PDVqjjiLzXZNLRqlP2SqkNJKkpBbEgKU+16eb3fiGJ
RTR9m3P77sC19Jg8acscU/K/poioYiSUxm4xq09KxcMGpNt9jBC1HpiinZdZ64M7CJqp0VIyOr2p
oAdHf/YnQ3ulTZuYHqed5kbnLAVFAubVAFvGsK8kh3bWI24D0oTxWmQOU7cljI81SGHi+fQS0Hcv
rnidedsnWbxfBDkCJmPBKQw0xsi+IsKVsJvnAPZI7473JcOyvJZT953qgvHNySICbEt+bnDxvWIc
/c5x3DxoHEAgFYxF0pQCi52TmeHKsttn1xWvvGx7Ko0+xrKn7iRmO9z6M5W0IZKbC8qp5Ycy8Y1r
W2hDpWm9bdHbaEGF5aA6JpJiiZLLp6qoKIurMNpx6PNf+4gYHJdgje2VZTokGkaxTQ/zEvwcyPpU
lvdoFeVzbY0aI21cf8Dh9x6SIbHv3KahvnTmaEiCPjH0lumvxAn0A3qcXNcWaDEQxBUpgYXMp1bk
++qeqtC2NNfwJrKt1BOJ/IlocN2EEuhSVewtkBzrug3Klaec5DTHhHVXTKsVbj6Ym2m5fBlbH48o
MOG3uDKQbtLUoHDIrwS0YGHTMrX2PSfakgqrb3MP/H82zAmWQU5aAd6tI5ffvfZl7ZC0iJrDFHnx
dTSUUEmrKrmCjZrkKxo76uUqn/pcMTv0hvs5tf3vQzo27skiobofRhh2eIkW9eaUoAG2/qgmsTV9
nHwCSjJq7dXMN6/jqJuflgIG4Tqnpj7cBiCNfWy+Jn8bpeiZf46c9JZuebLdiLTrkLM6zpm/YWry
mMqeZ6Y22TdMQPEOfNC0oTQD+0KJ/Slra/EcZiWu2YGeD8ec6PuBZ5+xdnCv5su5NBQQg3Hy+BRq
aYnck6lbkR+rXngh84w9rHrLLs9OvIA3FXaaXVrW6lrE2tlBb4t5zAVd+V5jMTp1onC3iw8xceNT
F3VwRDg8j828PGbhgLcbK/UZb5a9HS3fXtmlNa9mK0Vlb/M6Pzi1xjdJgq/fYOlc5KqbqfJUF+wY
lbx5cOkaAu4aqdHaJrAX/JUfYxzOMQ3tGhWhpdM2GG5w1TugLPreonOxoe6U5uD6Aw6OKy6/Sfak
eP7c9EUAbbkUFgB3DpP7nq86uGb9xv2TuOYhBHZuO9mDDHSxxzY/rQX6JeY7OzqPAtdZRFIWJWfA
FzJgkh6sGwR3LDIh8+8h5MHLHGEHmoNAYVY3ezXA60tSQOQS45tFWZU1ZQRtBt1kZ0FEepU17Ytq
kjTexJlncUCg/kNylDroIXDXxoBfGDXGK4VL6oEjZcj9X6R78OSM2Juad0XlF4YNdjein7aWc/EK
LOP3pYUMSGkW9ZfL+IIr8NCM3bhHqQU/EYT2XeuW7dbTgb0qeysDDwl+osRZtIas3py8IHkgjd1v
oT6cQh9o65qrhbIkVOEtqk5/Vm3qfqXdOgk3RVrgEfDsWe07Y1NORINrd+Ur0++VEhYESAP6n0yl
3gMOrV+RP+p7wkDdQzQGHfWTQXrLN8+5GOlu5wxG3bKXw8jbRMGu4O7bkDX4gWHXHPTiTLdiiaCZ
g9wLv6LBssNHL6+vSi+CserzzLNXQ6uU2gGos7ItAFU8NdRSdvS1+jYNVCA3F4qYxomxYyFKUpBY
EvUza2kvLp1SqFmCfmVE3Co0y7HTcw08FBPtPgo6Uj+VKs6dyNLnDB/91omD5prgBFWr+E5RkUgH
YApdT6Trt3lc8bf3Y/sg6NvaQz22b5FFFH91q5EvWhQ9odSEiM5elnjW1Lj5bZ3xmI5dG8tOCArZ
lBsSscNtmOebDmskoKB0ywkoXGOK/OwX81x2k6YFfsRR00ZzqoiTt8VGOctbUU6vS3tpWukydweY
aWO1l8aU+lK2PuOWiSo0IQY6hHUS66UdrWSjE7RLZHeIcfGCn4a+mKKIffjFnLqaSKQHShI5zA6+
hfASG+/IDpY+8MRgm9/ZHaviqmqDukXaGcEmmEvZlt+OOEQDi0T2iqmKdYOBa66wwReX/nWl40c4
GOKKTV91dFOJ9TeJ60c5zBjEVCeddlUXLVNqBA88eUvvdneth/uHB5gnn+yobg4mizhEGk4r1cYL
fXOCnWYDyrbnaZcFrVlR845nfFTyjc+17Ii4t5dBBUVy3jKQsubEkhNJj+B0OUvjfZ/dhk0vPCy9
gakAfhtlsX4O5svDErIAEnLmhd6nLzM8ZyP0w33KDIHlDb3kleC1euvmWF0zkarOYEXVA4NPdZSu
5z3bArIwZWC/FYtY/giqI2/1+zAH1YUcVpTksZbO5tqmqA61H9GuFwX3VjrAa9rgR3d+EPf2noGX
2C+hTZ9tpmizoG61LW4B/UJTMXB2F2xJfvYdcKF9DCdoHTaTkcekECGdubHVsu5U8susfHULryb/
mqslRDGNott+qnzivx75gbaPio9U6OVUFz7/vRw1MkRODx2cZdyvaw087lEDkKNTr/Cdj5ac3WE0
HYmvNojlXWaHqBFB00Z31kKUAZDzzo3D5MVudfdZlXSEMEQKX4uoqN4t7v2t1fLNp3ydGeQydam0
TJZXbHXxWwm9FKNoEnbvrrHkByqw/yVvZ2y/9YKF4IJi8Vu28ItHbLjkEjnVlu+zpBC5oV9g+iS3
gOMa3WZNwsRftaBfivXclN6LJYr46NGSdjbjqN9TYtJrW9GcY89BcpLIzBSEWF29qysTfiyILNwA
Vd68B2UXnhb22myql9zsKd1lPW2LNiY1KJ5YvMofQ9lXdyC/8IG67IJWQhjgdAmbICezvhBGseH7
YKNAu7FBdsDs3g9Rlt7g4yDqx2O/2Xpk1+8Yl3Wc8iL0LpHkbEpKt6gf53bE44yHHaffjNcQwmKb
nt1uzI/+OAfHC86bPFdVf6eemMFgBfK4IfGjcKa7QZI/tXq07Q1s3erMA4NElZ/wy7lUIlR7jsmT
ux7chlM0YOD0EgLLQVWAtnC/OakZ7xGsxzvbDptHMajqB1U0+bm0ywwkcig/aU8NzmFXg6XxlYU/
0Bm8TwHp6Ackh9EHWlz17yXWk7fUmFZR56OM3AS4zvHujj51IXPpyQOXqt7EDEifWtHgNaT8AgS7
H7b2g2U6/yVSRfG9jMwLpudyXbbsSIYZACVIwYgSLU802R1ooPmjwJuscNIVtAarhfioQnpfDm2H
rCfoNsYTOk58yX09sMGwZL3YpzRu6CKNOwcCAQTL5GaeOorvBFNXnhERZUce1RFXUIqM2lBi3e3G
peHSKcqhyNduwGLjQhIklBJY9nlofMDTXBLujd0rBDvV4ZcTUkW/OVMz6nnaN+j+RNEomY6PQ2Gq
h5gfKtj5QesThGzMvLWLRn1na0SFuE6K+VsKRgRxJa9VesBaS3EIE+N53nE1p+0eTOpFGQRQINdK
l/ILfDJJEJAt/1UUeuOz7C4rm5bjPlosVHsLuiRplPmrMdmyYnI8TiuO1twn7JH4BAwTHFcS92HJ
RceemOMAgc+X/LuJxhDJshPrWM5YRRznWnRImKwFvpF7wnV+vFEo2C5tWoaBh8f/8eR0w9Cv6tl3
ym0deXDLekdVAKjiBOmsdeiGpxPnqCgJI1eGRd7ZELVLcK+HzTcAE7S0Tb7D8s/oZr7KMisnYdvJ
t6Vh6sAQg8NbYWhwpg8s876neWdfzRiCOeBeEszzUJR7LxvkOk/hvwM6qRjmBeWRulIGZYph2p3U
yJnMIHtWkzZsvy0pQSXUScu8AtUsMEazm6ji+tMbHH0lLF+fUtxWd+PiWYQ5fU5rUOjMeZ57a8Os
ljP+nO18CYzbYtq352xTkYDy6MVtgoGqdE2i7S4OxC3O6WTvRk30FBMTpFevtaZDWtBWuWNuH+9o
C/oQdL49WICyv1kSaQe4MoZiIkG98NJnT8W5fVjGSiP+YsIFqAysIaqcm7yurAcs7f9kxPir5UXb
Pi4oFm4XOLB/sU/8wbEQZ7aq67gJLmd6hqecmO8U4axbggQJ6zZb1duBDsxnexhYSn9tmPD/zi6B
BYUpKF0fGG9+8vcsrgU8XE/BfpZRd6tlbQ6DaZki2IztgdbYkJNjltaKCO/3cWFJMX1P3dWQOaue
XzaroTYFQYHYWWOmzUsGTCWknt3INp55s+vcldHoIcsUkvQDK+pyMNKvTsShAa604C7cgVGFQBv0
cGrl637MYPOC8KxZ63MLYRvEbTFlFG/hDtrIS50EqUvSwqN4IrDAZGycnbsmkd/SksIKSw3YpC0e
+GlF88WKwxhWqQnS9q+/Otf7q9NEo9lSx+K5qIM/oxAKLiW+Pp/dOh5Kzg32ne9PcwUucD6WDpal
ccab4QEwZkbUz1dJ2887TUSr5mICIu5uwiTS0E4oWgtWfSG3qQbxYsNNWleTdTWRSt0GecYG2EvT
Q5kCK/j1R7gYSX9yW2ktGGj5Af+OP+finPvDpZewltSDNnpvm5rW9BJkQ74O6C+7WqzuwZkGuRlY
nNcX0+8JNkX/g4lXfzT2xa2H4CacEgt2O5J/LPFt/Prd/dW2x5vzyfK5rtI4U38yCdIjZ0lHFhoa
H0IVo8hIX4O1Nf/wMpeynb98CcT37MstwKPd+el1agbGfhvWes/4c85YvpV1GLFQbyZSb19dDvA8
I7N6XdI8t4HbLh8SNqHTBmE8u8Kzo28hqmXYZrhZalEWt/B6Afxn4QKdJbGf6i5rX3791Tg/fzc8
r224HjbWST9A+/nJpkkYHFpAy7U3tC4PhcUlZqZsxEGY37DxOIa86Oy2spMK/vGFtFy4pAyHPD7N
uM43mBnm7yLV0/Vv7+v/2C//YNJ2hOSq+p892v9dfo/Nx3/9TS/U7//k/6+FUlJoJTRG6D+5tJX8
lyLF6EmHdJTPH+Ia/XctlKP/5UhuEttxlBMo7vD23+gXgDHMo7mHtJBc3vo/6YRyLuvAn3yZvIQD
d0brAK1HyJ8WKUlCYcDeBhCTOWP7CP01AKholfWGKby89VUcoNrQkbMr7ana+fjDtnkXiX8w2XLr
//zY5W0oXLacctkHeMFv7/QPzyxbDJLCDA0dyWnblywA4EkQLjwOUeE+9VmiryfqnBcgV0VY0blR
9cyotUVmeRIH/ifaGZwMIzUSzRcS9jz1KDGlS4FW001BO++d3c3hcYGavUEG72/iNGG2khKp3voE
9e/j1rAUwZ05Mtwwa6uxlm49RXm4tQyuLU+oeVtGnOdju0etdn3lEjwio5UGs74icgWsQLtkfFL+
/MUOMzlHiJlQ4a3SZfHwb4rEsw6BTAUiStt5H7aw87OgxBsBsMkRBia7uZpkt04kQDLP65bvqN3i
CXkCH9XsDSSxxvaOowfxKmwCCdLSWH3tVNAeezmY29jvnJNdMemQcdCT5/G7uwhbxsYvXXbLqXfK
KyL1hBFXRS+j5xloY4N1icOjj2/lzekZrlXSdp/jUVu7HiHmSI86egNB2esmjqwdf8TeE0GXm2qM
zQHNWV9HljceaW9wNmbOQVlGM204TX81d1Zy09MBuK3Hpt6qvuE82XPQ3M1qxKnQ+TR9CNk9Cbjn
yC6Vt1FREz/m5SjeyKuFW8K0Br3NJvvTegsfrblDZZ5XBQS+c1Rk6VM/TtbrODYDk6yLdYk6NUyo
UAobLBbEsc3wvSlSyO5FVt6TM6MLLJRWfx7rwpySyPM3lDfv2mk8+3FzoPHmKmhiWDcTsfPBVrfK
SxnI2YzK1gvjGbfAOGkJI7aKBvp95rHPbFvJaTGeL7XVuJFCsuotR8RWtneU4spVHocN0mxbbsbC
YIKkn3ZTdwzI6izr3pI06ui67CpwvHSZURJhfVVLM22DoZxvCo5jJJS5nhIuqx0b72xbM1S6/Cf5
PcLHtR9xEryyYQHgD+1zPkf+WPKalXNvT3DE+2KYbu2aCHpTQ0wdF+JchS5vkxwgRFz0y76Ouu4e
44fE/eEv9z54wm2zgAMsPEaCA0OMu2xOylvoINGWDJjYEp6Wx5hIHCnQJtqY0uZ0rLr6UI11/ZKX
1HnpRMFmyLOYkVLxSWlXtHVGXTyF/oWKMnNG5O9gTxU38jBMerme4sk/VqIL9iUSB/nbWXOUoFuS
Chattwbf6nqawnpjIoLaprOCLehrHCOKbX9LzNrQUoIrEaKclNxrnDU3Vj2xNy2LuQCLlnuMTRTV
094kb5PW8h6GaVzbZXsz1QuJ3KES56Dy5/2leXHjD9I5R0F8q3nIbNlh3do9R8t4nBjul/0VJtbk
21yZ+JOpW7++4IjWjl5COi5HWNTKa94invoHj0TvCbQb7U6jTxtaOYidpZS8BZSFlQlzykOEjvXh
1heFJe3EocNI9834efPAkzmg3LoyX9ymRyZRVEnoSFKlXSd9T2+TH8nsGPgCwz4kglWI/j8zq2VA
vMGDA9q4rSnSDGMqNkWrg/qmHOyxZJcQwa4DBrWJqSLapdHgrXHBwEwMGUmuIV4pSlcb22PP2A/M
qxxvZMOYhBShWAA2iqRayDhC5cE4k/M7Qw3uxHvhBP295VZYtuBkmJcWijS0yDCC5UDHO4sfaCdY
yjueafO+nfvyBGgyfqcKDxorCBbu6/gStJtwYwHLh6iMUqIn7zquM3FS6CD+FqX6x5zJLDrWZdls
x74rT0Heijc/0d1hSdHfVmiZZDTY2O9p7JvQW+EZfyZVNtfw+033qdqgXYVkvd8KR/eHWla3ZWyR
NhzbQ0kjFcxdife2TPAD1pcE+WqWmjG+vfjvOP7QMCSTxje/MPlRp/NF0B3VMRyTYD0XSJcxejDk
YpqmcXU0YX4HX4zDbRGO/nSU6Tzo67oIneyHtETbPzhp4T9GNY3uu6626o+WW+EjDN3ypcpj69xE
sqRaqWKB3jqGVyv0Mj7XeNosFqkQ2WcY3rJCW1dzIKYQJzUt11KO0BBEh0JpJ97orZmYeaeoNt5D
OQVFwEy5bNd4LeWnM7vigaWwDY6jSvP0vmvb6thxFH/sTcOWAFAV9Q1OQ7fcUOjmMypAk9EQruTr
/2PtTHYcV9I0+yqNXjcTNA5GEqjuhUTNkrtLPseG8PDwIGmcJ+Pw9H2UlUBXbRrVQC8T90ZE3nCJ
NPv/7zsHoqL9jQJuPjDcctFWaXkCcuP/EAemURJZpgJWJtxzpBxYzwAPyMAlrryUE3+rWZZ7OzK+
7LQ6o5Hw3WWDlVE2N4en9TP6wmZPaFJv4y623C1UY7ql3Hmmi71E9p4ifbxhD8OkCVTSqmfP9Ub3
IPcfOxF56qgz9C3aP5EKAUoDQWgD8Spiux+YjfleBW36ObpqsFZtnS7EMpmo2Ju0Gtxf0iQg/0hV
WN3n8OWdjZb75iYXBunFxQrEVZTERgxhxNdkdMePvK1x1hij/Vz1gkSM6NytZU8VOwsjfgWbnBw4
1XCCl5rfgrPWqEK7bHWYT+m4o23fn4RH1I1TmnF1Z6uCVDVAjBuX6gf+j7VFEWOQP4WO9tpOgmhM
ppoS4FGZTQ9zVlj9ZllmC0pwogsQpEXFcESMQzhi0gLcOf2GtTGGVQtWgnxSd4FiWqxxfQuYvo4N
MSJGc6N5fxaqWZMQ8Q9JMS2PQ4/DqaVuTb7RLAzOYv5umhQL+bJAqc6uNar66VRHyBWxkI+Dtfe6
aRmPXaWSI8eZCqSdAHLHsUG+ON3ASpElQzkyE/HEU9YwfSW7xUdhqdjcqtZub/yqraswOLZYbkAR
uaCbc9M7jfGdz1bhpSfVwHSwjuSyipQ7H4Sy+i3cz5jXkR1sy+Zem2Cyu4MhHD/qZXa3vcNn1Ela
/ywNthdpDDCB3Fft/JAiuZvOpDl8RS40Mjs7Wt5Hq0ebGZuOBlZqRveb82W17YVbcz2k5PZuUJ54
ylucnXYW5VkIPsZ/qAxelrvZHKQKuyzY+cY9a5wF+U4RXNyzVZA710x9RGdSNw8Vrl1UOTTZxVBQ
UIxMMSNxM4lbVtXiXiSL36cE+RflAaSFJygu2Yse2C5ZkON3ru7yg+rQr4CQt7uNqqv5R1tF7q3B
/Kh3vw+iEPw4bsJAdR6eN9NG9jqCwaPAUPgg1SbgFCpauRB9VpV2veSAhyJdo0zChBZFBUn9aXQO
S9XWW9m05bn0BvNBjV6Dj3vI3ibI19ZR044G5CG8aB9EUQMtD+L02bf84b5HogdosvyQjLr2mrHg
7wFgKfySe0G57WbzmadN4vLBHYY6TCb2qbgiN/A+9DFjMNBmDJa9LN9w6CETiFf+zEypW2EwNL6W
Meq7ncYddfSV+mpsI3hsGPQZq3mx8p+h9OLHjKcib38Uhqt2crg9DHM0h2xCy4sHDQ+LjTbfGHEF
T7zgmlNljnCsA6Pfmo41bJ0JRK2CgfvXzWW+wXvjPRKKtzhAewPhzNETPEVr482QC88QQCdsLIO6
NHcZ+zr4/25zW0bJBH/qLfuhBY23ToNl+kKBE10ZbzsMNQ3afj3uswJaEgG/7qd1sO5Ru2hCzxU1
b8444tBJf80V40PUcigATX2y+Qlt1Jx5G1gs1Wttec5G8qJZ5TXx2SKNvMuc5MmbGNqHxoKfAZCl
2+UEftjacLk5t26cnWTWendyWj7sK+4YYRDTXTOJCV6dyWWNkpenvMpfpVX8IF5/7DVxukwkmMKm
DJ9BUo5ArX3eTEASKo+puQSZ/pg3TfGt53Z4rDh9rSiYx+dkyZK99GNCXeJ3Bh2r73tnC21lbcYQ
u2zDSbhLLWNIuqXYCl5IQLBxhihspzFE0oEuisUCJjlMqXtMZkn8Mj5lSyovsQdCECRnS5IYGfh6
qV2aFkIbHBkLfOgAjYiEji81X6Yt9BbC7j7TcrPJ0pBsbHZlawyZuY2dk98PztURhX/UZq03PUaq
0DMQMUZ820/DDHB9ZVet4AhamvePIQOamY8GgIo8rNxpH+VSYgtLj37Ww9Cn7Osn0Ac0n+l5PZZu
HnLqSI9wBdDsWmo6tZYL+ROXLPesqhoOwivI5RkKqjDgjHZdZK0TLsu0d4DiNSZniMXRPlk9pvoA
C/NDtBQ8/0DLvYmIWfY6AYl3p7QbpyRugg+T7fkOyrt4b4HLAVCK82NNnDEUiCAvueE6G3cMoDui
Gf5F1c9+l95S3zgBEwqKoGtlZVQd7LI2bkIP7i1bmoxnJVbclUNB7tz2KrkkRYO5nkPbt0AkevBF
DXoQ//kfOk2kSR2kUA3eoCJyw9mMfpsT7z57XuM5c7G7Gy+NGoyTNZMqqUFt7Q0YEweSnMFllGPw
fBcdhaSSFHs7DrDaK+1NBxU3dL36TPydWC2+KInbJ7EdbpFmcVN6yjgnlO2XkCWsMgN+PXtR49DZ
1h4ouHE0wTxt6On0D33Qd1Czs5sLjc/1iSJaTvtQWe8NXaYhMwlT+lurl59ZMj6Woyn2WTI9+4B5
YqNAs9yScxP315KMWQlVes3R8L2Ngw8yDaGl06+WwcY6byFmkjdLbmoain3QI0ThNVOenWy0+By3
1SHws5NPzxh6t7OcZJsYG8/1832R+TtnBqqZqSSH9lKmhxFt7M7Ww7NplygQ5lKvrZwLHqEckgsu
x/ADHVm5X/Aif9uWuut9PLWsU8odoRp4RhKK2yeVskNqZKgNAuw1VeZFpyl3i40Bcn4fCG76q7JR
ZJ9ZOyNF9sIFAu2BBRJWCu8ghuQkChq7NttZvHXua117/Zm1iP0Kb+zOhdM9fkMLPOyO4FBBeSqa
KQf5anCB2ab1Gwm6PPRtriiLZLMAU70+wVjVzyzwnu5+ATUjvfTxDiaWOvZF81NObnshZkiKKfbN
csMD/mjWfti0otgyYqoPyod61dgTno6snS9guOgueZb5bfPfR2ttgHXuldN9v+83B618/2kaSncb
UcoLS4/2SZzXG91M5lbqfj3YEVkUBAK2NMybjlTHDWcK5msBv8Ui1CHbbe/61m5MS7LG6MoPZoaU
1NNjQOoLr9Oqbt1zAW6KCpUcz94c+WdtV/hXyYQuRBlsotIdrP4geCY1F6aJ/TSn1Jb69Dfrt585
bpEkmHXFQdxq6Lm7koheJyDx8do0KGABDmDebW4qoxihGmvBLZumKG+ufSbcvWB9w5o0HKmurbiH
730QkCUL4w1v2x85Wg/4coNd5y171xAn1yc5xVlr22j9OVhj3K4n284ODa8DcELm/GBHyedgW7hT
aD6AxXQfCzX1X4Zr13v+OfQgji0eF4iD3XAb44hiPBPzvFR2E9aKiTrpSnluLIwqyrU+eIAT1TYb
lz5jIUKDtWnoz+Kt8Fh5K+nD7WqTLWfodUtGeK76HzqRFvD9qVoFHkncbPCJRxeSGIh1kEl6KPDy
JmPx0siU46ULPrjR0FZ5gW+LCNlzYe/ycv4wah/Q5UxQKh3vSfXcyftnLtnYn530oiJNJFf0T2Ob
c9QDXPaUdParqkhTehOqd5GbnBfpsG89QYacAuAW3iYNqZS+ySSF8zBR+cJSQPEqaylU0GjaWJ25
ke29yIVo5OhkZ8ifJwCtKV/H8nlQJL51eYyCLtizW8KIEkyIc4chCIdKFC8YOqePoOyPakGnk3Ph
WBX1RFQ4n3asFvEx5qyrDmmPcx3DKyw8kSBK74R+ahYd/4ozAfTWs7+48r/YbOZGYg6smps/HnOu
Fzo/1UFw9D0kTIY2hOjOhsy5UMt7umny/L1j0eQrx+ExLhi3DENVv9kQNPcYTMk4pWB+N6Ku1ars
qXw1EIHPlsfEjGtDtNXkDZ6xdGBuNZfpUi3OxCzTks1BSjUQ/ZkoNLG/MDwAf8GoJn5QJM9qC8yf
Z3lzsGpqO33V7uQ88DnbAC4/zzLqzgo66qpSJlOvw6Isn0z01GGuc4wD21msJQT0iKgt3ne9RN2e
kvVzEKnnwqqSnVepege7OHtDMFaHjds+DTZWGqRf+HEhZ4RGRNQ95j3PORlphkoIzlh5faNTBZaP
c8JMvwvUJ0TPw1KzVGrG8dOt9MToAMKjTGPnkpvwFWKdEDdUeVbjhYr5me3HyfbPXlyD2GIuhHrK
Vfx7kc0QKikTJlSN+8dj1LXqqG4+4WaYrqqLGzwd93k4kJeRSSoJL8uK37PFzZDfVeWRvMhUb7pU
wZYz4GaTVZhx+ozYzH4hYQQAmtnutuKkyYEqG8LC4Y2cLmaLs8Rjoc9zYc7FJXDJcJ61nE+lq4y3
yKppCddcPTadIcQLamAxk5/J4FnSF1PnqeNI5kVgufUozBNq4ZJPZ1ks1H1n6VG5k+kpimnA8Uvs
jWml/Zm7vPVGacs9iF5iv0tqjo6R053HlgtTadgmBUOX6qqs7F1DVH4HfZEDkJCNAJAOuynUdeGe
Td2HLYc/WwRWu1JMKc5B61rPQ2HFx3y2rBce/IAvpZ2QLGoIFZlt0+wsVdjNdjLptSJerqc1l/+a
Vx8g9tlpyPUR5mESVs1W8uVLnhdENsbslZ37ZQACzDBzLJ9UU8m1mJyfKDDt3yZCviQEmxD9ifK0
eOEY8qkgckMPaa/W0L2gotKhvg+8hmXc98tcb5EjdqdpMvm4Aq5f+7LUe5BS5VftUpHya3DxlFPM
ja6A+8WMB6H2ZcsTOgtSumZOMHP28LUt2V1CbToM6CTN5aLyAC+q+sHPbCq5zURGNelf9UyO1bTa
d5D3zbpNSX4Q2ZEPSx+nt9noml9OTFZxZUbeuLPdAe7m4BDHqF0uNnH0kiRBcACqyXFnoGfkD6cp
VYoH3qSOs+X9TTn+39ndfXgnF/MkmPD16MEPXmBn8zIBS4kNthflWS7REyKeJxnjlko8f1rjXqJa
01vfdOL4MLqpfZkKzsatWuxTBy38S8sYyGIV/Ap64e8llMwVpyRnPWvAgGVgAxctolwdJm2JPW9d
rsbWMeXU9KpylFeW4ONXepSaB2Btey52I0Xi/NqnQKgnFlN0Xfuz4KDe+T0VroWp5EZbS3cgo288
6LsBmp/HS1JL/ji0zKHTgrJjq63BEChG+C3/8Xm97oX9CBvdPAPqoFmMKfUo/JhLcZYFTIZkdurL
6SYsEqBRS1nUG+GwWhGqIbLwJ9TOzyZfopXpjttWe8Fm6vOXKlcPM71RgkWA1ak9EiVZMvBLa3eg
TUq+rt9anHB4FjIadTZ9oHkmkwCvTkFl9wlTALqw1TwiQheSBzIVq/p1hvr5h34eU8uKLhYHi4Uf
r9sdcHTqEPAuFsx5yQj+8Vi89EkXPWG7X45zL30MLNAzMmx/biyvslPBFv7/l1SCokB89pl27xwX
N1I729eAc9EpTYZ1C9AhLdq3eVAfLl3EVd3Vybqh0GBk16jTSbiwYHluqZ2sLYLwN9tEqUigrIeU
JpM3l5DsPmtHjjRTV4V0d2h1Cy9sktrZeH5t7ArK2PFwndg1XWJMmCSRlvGrILoWUeCrOXb3LbMX
sk3AOWDSiwEiN23qwtwQDz7G2vHDSbQHir8VrFmidjufTCq3FU4LtMBmXickr8q1CYmKkaMkPdXQ
aFh5LOXfzCa5e9OG2j3AJSp/C2YNfH8Gqzrzm6pj6c+vvc+IKjesbcXz7RLMufLWBk3Ibzh2xYb3
4XhNx0Uf4rokTgl13/wA62FgxC7s88JH+Q3YnablKiL04KD/H3kuwLdC85z/Iq6lvxOv517H0CDQ
LIWyzF1OgGvTjOmtM7y5xHQetTHxNZ4zfgjsmMbkAbGpmmlepBwz89oOXoAbdge4xQuPK/Ltn6Pp
ua9DIpJyR1zWxfoA7pBJpuNUnAbJb8cuspy1neOOWy1xMZKd81OnJpLppa84a9oD6yiOcaT/0i03
amfvDUUKSbqqLf5dmKXrIBv1h/LKb7psxpqi3jfXcsxYTUqZxWys75wDHwu3hYHVylCMRLrB9E/a
6mGwU7er2nBAgHaZCVxxpDTdD2I2fJf4x2Z3MWzZ/bZzK/XWnRVV23rQLrlQu9ou2pEHP4rlhS3r
9ABFHVS1ZifcyrHf1mnuXgfp8ERLIJubm8bjpwdQ1EZBFQGsYLuxpo0S3Cdd+LQ7W8N3cwc6x+RH
Pejae3Nqb3JyWEPmEU1ssBEGZA+VX3pDTs9M1pJtUxWI1XVAv9loih5igbz3BBdFm8KTE8FBEbm/
K5pIwP5zszl2Rl68Wn1AeZap7N6bcvsxx6nVrb3IH1lFW/babiSnSmiRpg3T1GyndMtGcYcdr0R/
7n+ViRlv/SZST3zwG3TrwXBAl2E9mjr5CjomesS0cI4Po/50aiKfnRM3G9CqTwPxk9CqC8jA5oLJ
KbHmteyLJWzmjzoNs85sVrZVPbARBNo+NOKVsDrB1KzdBSlCg1IjPpliDG6DGkbCOYLafN4e7RI3
w4Q7Y88tMNl2thHdhho+ijfIX1PUJzO9diSeJtXei/IZfk2MwG5OFmVExErXeWHZtGzxZkbXsRzT
bY+C/DPqxQ9EEHedBZHzWLZt8VamvDvATpsrLwjS6zAG9k67Mi/WdNWp+rBFkcuammxAPD/S3Doy
pV6SwexvnsXCZwMANtZrkjjpiZoVR4LYd0QY27yTXbJd0WJPz9OciX3qDhQ2p4ALGo0yNogH9Kes
Tu9J7fub2uPisfHu4d2aQMCqFo35Br4H9s7QQS3vNebxxRChSke9qdz6hZsZp5TeaXc+VaSLGpXe
FjNMAHQIv9i/RScOIuqcc5rEmMiFZk4LeXKJJa4BQwLbZfd3ofvrvnvQK4vYHLcqtWeSwL0HW7hu
T/Ui0m02dOYtGS29Y8nAmLOvR1C5nFqaXV+O0XOiJ/nAuJL/FMVS0GtK58RqWjzxt+pwPnDm+iKi
wV2zXcMsXS2eRYyi9pdzuUze3xlFQr5j+8IdkK3bdCTKna4BhvHpYZb6Ei/O8GgP9ZMRL2HJNI+K
YC8PTu5BFDSlW53iMmYY15j0VEPWKsOWXGoGz7n624DWACEmWal4lT38yYkObHsjj/bw3/nzqq62
dsgIxYmWzz4v5v4r08R4NoFGG4DUtEzf+Pn+oguhdhNDBF5d7NUpcAqubVMUStV9mA402ATMeroa
BVjmlcOYjuEO+zszdBwbHcliD3IzZuDjV63Qp3khhOw35fDZz/b8pICG0/qFQ94nXAwg4py88l4J
qqlIZHQ8Rs7/uFTSW9/4DeNi1dmPePmIM1d0mbJgm458fiERvIrczf4sRpGSaG+9P2zggrM7iGM6
KBvkdRsBcfWh6+CKQ2SybiGTfhgsZB8r0UDpLUvBp0IYoZnB5h8DosCIn3VmITSSjII5M3wzA+Xm
YTX2YwwzA0/FBF3aJyDH4n86VEDYYKFMjnmKCwgZUE9ZMBlEiFFBf+L2aX8FCecNRAXaPDF95m2j
lUu4mWEl1wSkAwRUhcJ34UKSqobmncHQJ12c3+MU5LzGZftqW0l+SBtwEytep+mH4P5JWdtkrTOY
5kz5gnM6d42O2xSYLJjyrobVQZsVkGp59ediWUelLx/7osATUOcj6ORML2smff1WdHHlbCGHkckY
id7BUxp7Yz3n9vqfF5yMscR28dorGy/qkmkFP1XF3bT3DQscd2L48MAm61o5pj7DvaEkyPPoRsjD
WC9M+kMO7RN0k9gBANnHH0lf2q9YcvHXGKRW2PbQKjYMR++64T4fp3YpHpQ1Mncy28Jn4dV3FKWz
sEppj6+8mDdBikK2WGkMqCsxxmFvCOtsDjl0lNIi5FMu0qrDCktXKBtZouvq/iqRYkKqogYimiLO
0Gb5srFs8eIx21+npgh2kqfphv1ucTZy68nVJbV5AC207RbvYW6bivv+NP3GRNPQk/HHu90hov4H
+CF4gL5d3FjSBs8kMacnFtj32GVSnoxZslcrTX1UrYdgOI7zYW1DqXh2ZraMs91/dMyh7xyUdrnY
9wo5SZp2x6uUvAtq58fBKm5E8LLzxJlrr4Dqh87ov9FZTsIOETJHSX9Srw15nadRTy4U58FRb/CF
2REY/kK4KdX1uraXS8sHYl3S1bRXmL0OXZLtkmJMjm5Be7iIfB/WiPtQg8oOB7vwKQvP5YFZhl4v
iH/5RkzjUdQEZxbVMt9sPa9YR8BPPoi0kvogZfxuSPvmt9FrMNXjU9LGdMgjbnFZ28VhMWLnKiZ1
TdgTQlLo947v8f0JgvlEU5bJaz6VD+inW5pw2QFAwnhF1sHcgEvUOZiLGQUaIa9L7QUE9sF3+x3A
N3M+xTELI99wj2VTsLQx/XjYq2gyP5K2oU5AJXnnOk7xKgaPB1fPTvpQqvIoKjmcmAmQCXHcKUyF
1bzRF1gufhf1K67JDZg/FtWQ2iQZcfJKzbqRY74lnK/24OmIdQAtWcNGqbcj3R0UNPQezVUds5dN
HDO/8pjWKE2cbNrw5qi27CTN02DpnxpE1a7uYndPYYrRHun/+oHnlkv32Z6P5AnIgQfx9KL7eHqA
J0aVe/CXGxHLfLOkESOpQJS3hsPFbexnaxPD7PwEtoDWKRkmfcKL0q1p8fp/5WRHb7rLphVcCt71
voqajG8+LivWS8E7DZ+Z8mrF1CCpjDCDHYNMzE0OagRcXSSedRWpTB/ssmNQviQ4ZpF39E/MBpLv
fGSfjMALIanNIJK4g5CnWXYOLfdx4nm2dEwNJxebxBzAhoCLRG4rZZ/gOsF3EwXOkYNK/M2QkDOE
uo+i7EZdUy7hBReBwT1SHL2Pgt5NKihoZyuz/1wiab0x3Ug/yactj8w27E0cRMZmaQP1kxiOuM2T
ZHMQVfkLVLBkw1qA6/29kWwHtffsmgCHkqHBgu3L5IY4Co957QDd6xOV/a2ErZ9LXq8sZubosQka
F65EnRf7olcO7swoOg6FbW+bjncNl+fSfMrzefxkzCIvrKzyjV/5A4zR0eke2Rg4z8XABdyo5uwZ
gM5v1bUQnVren0MeHVHGIpy13fYxbibx5ZaasWLGd2ZVVtghHC81CAa1BRGbxTpAUQKmIg0c6Qvr
4pU1Dm1Ia6HeLi2DjFoFIEADS/y1lB+dSOjUJc0fZBKIG4bkSXI42LKMA5JX8T0c26bgY8tVn6sz
0wK2UdZtxPh2UwGWDWrQ9UsZpc+8XTnzuNylef3a+7ZAOuOOSXZCFzG9yhETDz5FFk9G3rOz5lgb
ckbO3gNVQ2VpjCj50BSF1b3nMjJ2YL69kKvhEZUa2dYzbefUWXL5KjFE7fyE7V3XF/Y64Mq5DhTS
KbY78zPTsH7vut493Xefvdfm0P0lXDOv/Sp2n5dGLAeNWmLNz61bcekKjnU2SmYabGL4qjar3ilG
xiedx1xhloaAEAOOb87YYBfTg077a7GInmRcr7cDwLAtaTLOnGgtdiWrm+dO4yqOdefuTQcR+7rz
xehyqUTwuxgSy3i7lK9Zwt8BUi8b6YmsDpUeo4dWDe0jDbYMXzP//+OFoOAq84CiMn384YFjXHQ0
d/1G5khlVggieAb9D7JiSikrn2n0ji5yI/9euasiKBVR/pn3c8wKhcjwq8zZf7ikr550GalfWdDp
B9dm6cKcljAsFNGcJ5Iq/50E+/87Lr/7qR6+ip/u3+6/8Td2iZbER/+//vP/RMH6rz83/Oq//tP/
4MCUAmqnsj/ffroh55fyG8U/1f3f/K/+w//281+hlZNb9/6vQXiIV8V/xJT/+y/4F6Vc/sMUtsUr
gWS3xD5Mpn786fr/+d/94B+k4vm9Jblcx/rnP/lX/h1KeSA9F2+t5BdDDiYa/68EvOX8Q8DRDtDy
eq4L8EL8v0TgpbiXKv5PBt536FsTzheMhQMPYc0/2zT/IXleJd5o0gW2cbosNDxp+ydiM4jIVjuz
ImjJ12jJn/wU5QsJLdsv18QSem6puAOKddJ7umNOaXotxKFeAP000d7bhTtgwzaQu5DdRnPpB63e
WEI4PzPd05F2oZceHTcfINwxy1jDtU0Psow3yi27JyctrWvAVIn+6yy5XBrlebKC9NDFETtpy3n2
nbpb8zc478xaYBQlRHYh57Pt6K4qBzQkyN4jjdC1Vw9DuLTjAuGPqYR1fyAtrV9tPQbIIDeGO7OW
cEXVBJcoNsQDqNIYmUICYChNT7OFIUYRbSIA2QXbyrX/8CB116PuvkmB+SRdUnDunbushimaD+SQ
+usSBOMxS83kT9BIGGOzgNMi+i9vMvy96ZntFlI3kseAP9NP5U+kPfHQN9OfZWAxbE4zxwNlPMjG
Y6ez/OYefjBiO+yL6H1q7BO347PDUbafh2PhiF2amGQkvcb4dip/3EaT/YcW6K5zCMpnct4POf0t
a7Rf4uDOg06hECEgA90QwyegSvueJ+606T3vQyrzrFrs3r4XQixvMfdNzSaI0TL7g6FPYqT6CMfr
WBTVTODR2ZEU59KR909ZW7OIXKY7J4jOwn6snd/zaJD3aKV5XWxpPc7DvblJf/JX0Vnkcyup42/r
btlJ2J4+ZQPcIRIJzneL6WGXD43/WBQxuNJJzn/boMdU4aR2w611Wk4kjMZzm2SPpqjTv047Eg+Y
a3uFIjNeFR0aSfrRWHKy4Z9GrptokO8RhFqLWPCGXIzWfuSwHvGo9Z+yygvCUS43P6mumWeC1xq9
p6VIx4Or8/SUNgBhycFH1hNJ6SZM3fk7d8Ei+0b+q8C0euk8iXUrX+ifUvS9ed5ASJ4kEn03n8Gd
JMel6pF9or3cjb7zqc+8R4Hz99bHXSfOnhepgOVLKRqQnkbKitbJimHbF5z910Y+oimhKYxIVGn+
Y8McJkS3UnLgzc6qo8g3zhIV7CdShbrSoNV7a32fxq+yC/SqOrUh6uRyMc31oJER8JqcaKB3nj/H
xGsSYECeqCIvjPJoZNmnBFd4/N8IZOhUswUznLTo94MI6n6dWFlHeSRz0vqdlF+bsmUrcZRDR/Hv
NzKz8teW9kteNwlXaIoFBBFOwGrycQuOCjQ0NKLWZ/2IWueQublR4UZLl4A/l03R1uySPEAxCCiG
A0pUIrGMAj/ezEHMdDDWEFp3iS1na1W5jDg2PcOnZBsVht/9qZBwFQRlfKoDooIZQIIjcH/B0Znf
y5FvTNAr5vdx68+hgrHarKibJNWecBWIKktDX1hztER2j+CGpg/HKf6yvMwgzOFsAC7Er7Cp+Ib0
rNytlNVepsDzdhQZfsboTtfE74XYCn+IyJ4w/xZquwxO6W+KnqDpQ4L0Zz4xE0p2d/51vwGxzxba
lP5ih3PMDXhXDIknDkQOe2QmoJ/SbeBlxFqsAgcw+j7BkQgPKRm0IbkF5QI7FJEdFMka7rcgaPVe
1gmQ7jmaWnfVsIbNq+UoDcv6lck0uZQ0Y77GsqJtmidTcxmqjjx94i/qUEyct3ymsm7S0UWV3Yvq
vZeknz4w7E5hVzbzp+/CziPNll9tJXjspTGNkbLsn+FbVFutO/8zthrOlnbvLL+EufwZ5UCw0RzK
t8ho7zQNOCRKM0/X/Uny+4Ibps7t2jxCR11g/dWZvQuMiL9RUnT3MCCA41XOQPhxbpEtGckEli0e
694KK489CIbeMh9PPLXfdO9MyHySpn9WhZfbN+jZmNNytBkhg0TJkbLEWTyzT5huLhTOZZ871Di0
SV3jOfdE8oeFv3BXY0pHNPRbJ31pgSDpX1wI+hbOA1PZO0sFenMTY7gH97HnWvN7YtTqrzipIeTy
2eeRV66XrYg6gm5Tp5+o+KePjsF2U9vTdPHt4TpnMOqjRKqrz42JSynnRGMxPWZr+fTZsTa81oYZ
gKuks/XSLTmixagt8idsb9Xv0nbdPTTg8RDpwjPIpPrFl4xScTUYfrFJ6IPHqUeBRgBR+Qgj/QGw
GNFpKisuzZzWHqJsHfW2/9fPl+Zcz8P4N+JMCWsswIT4Qiydw6xnkKi3bJkkG4++dP439SVhY2Uk
5kOm6Y1WlZDvxWioHQQwy9sGdDHzsyAdz1NhTjZ3AupLBYgnXnfZWP5Ynl/91SSyP8bGIvYKKDEA
hgLjYMVoh8t4OnENNSpWnzikjeJCXMB5IRHYFOeynvyMTE/lgI9PDa02gZn4H6CtAW+pLph2qo4q
6yix5/2pjFZfwbP4L2ZV5ucyZebHZDbyXvNWuL+WgTcI3k8ekl4xxx9SG+za0YJTIJpz0hl0zkLf
8uQ+Yii+EbEriBRa/UEjL9DEE5lkuMNoGjwjqjbb+ozTEdrhLqIkFSzd65QI44E5CFNPHNfMmSR4
BMJbBjH7+2qoHHlKNvm8ak2KdewP5nyT5H117PppAPpq2517bZXOP4ou5kOH382+Byl1ZIcsSgn5
B6Bu2VVGQx+RQwVEwA3E5P0HO0mWVya5xvzoSpYSV8OcGaIDQ+MOYzAQ98EegUwIa65QcTiOeZyt
CiMbKbP73NJ3MeLn+JyWsATWGgH9VZBBiY94h13zPCq1sEEPiAMwmqhuwEyhGi3KmIdb1OC3fINx
uZ4Ir5P1+N/snUeT3Mi5tf/KDe0xkciEXWhT3rb3G0STzYZJeA/8+u8pzkgacjTSVcS3uRHaTIhB
NaurCkC+5pznJMxdfSwTueaW99mdI8LGC6PxfZINUPkPwZiRSUflwtSE5AaYeFW8M6xZ7XzbG+Er
xHLHeZZdq5lum9Gdt8VExkpwYsS8MpJmPjWBBX0pZ0tyjJFKV8sSLQNguKavv46eU+XoLwrKByWu
iKpm91oHd4Ibflk3cbBuHYakTXqBeptddcySOHxMGlB3GiISG+jSCR8AnGPiorrJ+YYLRDYTNKAT
EwpPb8lsSPwdK0ePr7VsbbKqkci0NxKl+rWH+ByZaaQeraEdqy2gpSHAZqh5LGet48C5S8g9IBtd
PU5mD5momCY4sv7UdfejSoZyb2LEPkRyDj845nhYBvXASK8fIhXu0lhAoaL/eC/NzD9ODJhuZqu4
qVxz3DbIQxapD221zmf7hJDdW+WdfaxmMItkoD2A4IR4EOfBcUBh/c6BkdyHriR3G/jJttKVCSVV
GRptSh1g+Lfc6iMMc0owyGhAo4AJgvLkgCrHyGVNHNeJuRaNsjaVci8zIPR69ZYddRic7Qi7XlMM
zIiHEXeFRo+6rNqp+Fo209e2Mpi5tWYMB6sQ0ia9U6VI+BlOEbr4u+bs5tfe5n/yLrsp4rxt/vqX
H23mf+x4frLGw/7JRYFzY29B72khwzT1IU+N5OE/fxnPunjZpeO6yJh/xBD0c5YXQWAMe3es2T9j
gCDyeqos99+8nR9JG5e3c/l+TYgNgo6QP/74OqZvyBa5Qrefu7x7Ty4nPMFvdATh5AGrHA0df0t7
ZiXs0DLp/ZtXl5dP68f+EY82mA/L91y625/fZjyE2sBZ1e6tOi436Dbae+llzgZP7cxF2qS3XoXE
SGMufNVTwZiDaqIX/sNMdWF9LzOgqKSXwiN3qPvn8WZ0i2LvqIqxihAhADwCqpkKG0QpXTd1zaOq
gFTFWAvW48L2f7X7/zoc+CeXxx/fEJ2wgD7AB+tJfOE/fp4zalRYiF25n+OmQROhY1QrAFgGscZn
TLgrj3FP/Zv4rj++qBKOsMj8oDJ1XPHTNVnjPbR6JjS8aDiflKuopVtmh2QPuFP1/q+vzB8BGZcr
hhcDCsEb5F8is+rHdxj6SubAFdv9QCj92q7lByCSTSbG9t+8qz/eaQjOKUMIU2PIoezL3/9utoDX
yiwBBOX7GBlae22ZZcDBmZt29+9wF//k8wP4QRdJmSgRHv/0pYWakDEbzPq+tRg2Rx0lRdCNUXhi
+qEIJZFKNluAgfR5ZTQ013rolHWDOW/JQRR9kFdD9VeaiAzQxQREiH+vD+vvteK//vD/8JkQ0sal
RZ6WycdiX0Lrfv+ZhIYVtnXhxXsdRcLdl17X3ozFSLP0H78Oyc62bRPdxcv4P332pEU2VRh20T4P
aAZWNVvneBWCEfw1W+3/97jvzAataIrP9scB3/eh3T+mf/+HhoKE+3Hf/DkdYxFH7/Xvh4K//sBv
UAzvFyW4MQS6ex7dnsW389tQUP3Cg9yVDpgLWwGw4Ur/x1CQCDs035dhnSMd/x9YDIaC/ARkUiXY
9rjc2//JUNBzfsZRSOFB9GQcZ18OFGH/9ISoeidtsK6rbRmY1gPJ9/MKzlR+GNFprnraY6IZstdI
ZyMqPM97jRm1nVAadzQb/MfagoZ3zhFJ9c9JFBHC1c/O2SSpLtiPcxvhMZDEIgKNdJxnORM0Tc5Z
6pwCjSVjoVt0xNqfHJCb/fxMzmPxCXezfSbHmuLcUjxKHNcYb1jqpQu/EcbSqgq9Qd4vD2Pdy7uu
Gaqj1eTFgdEbJwd68X1IEOq4MiXh7NjVpHUs2yY5JqmvyDLyrPyBkdgs9jxIjKNIeKGlbSU9Sg2H
4V9kZ8Ej1XMFM9Swj45f9G+EZqNxSQxP04q7U/wEjkk8BiDm0QCqkH9bFUj9MS/i7KDylx/+5fbD
Pp0Vh7oZww3QDw0oPKmJv2m6+CSyxLVQkfmsXuGMgoV3VH1rlAW0JKqs6dbnKbeh2cvPuWfRg5Cl
QF6GJDeH3R/jwE+EdsZdAFSDnh8uLUWhDZ01MtAw4HqbqqsIBC1iCuFl5SYgoxIGdIQDrJmnCfy9
jaNiQufPzIQ+DJeaQh3mFidKJHufmCYKFJiUapOhPdnJzka7OarPqL3Y4J0IjTTQA6veJYam2yl8
0UEtaAXfbtSBR1/MHlqShm0ayp/cXU+tuOTKm+zeCuFueqXqj6lNmSaRStJtO1q+ryXgsFez7Z0D
k5HwyFiiuMW9Jh8H3FdnDYgVytwkXGNjlyIx1iPmARwPFoKEpZs49oG1+0S88+izEiQIE+AJHbhd
WNmBcbB7svJkONhty4jSLhk1JsT2mg4uaGSv6UOW24w1hBUNu0Kiro9nA1unR61HoI2NlElgbr4u
cUzHJKd77dmuPXWyK1wYwjTkBFIASxs59DKDm8lH6tUOGjXT8Flnhh3dlvb78RTAnsnEHLzBwdQH
Q1vWq8s2/Ujrne5CWUs+psL0r1h9FmJhu+BzF2XP7AzM4YW0qn26cQSEGFgYOFxorF4zq33DvInl
ptNIgrX7+g6C4rzxpmQththY2WX1VuLEhzNTkD7R9sZTdQkaqP3iIMbO2LhdAOFwsq5bjdaWTcYm
81FxBrX1HBCWm3Wy2RCjeIFtuhE5EN6Avqj6ik28IjWgvq/g0/ox+TKB0uvUJ6ekZGbfztZwnTFw
ce2SWJpLIqGSDjJtp8sAAeMZY6x/YeIOUup8VWGExKs8Tmh9mnkLMc9tGY6zA66dajkIRWVtZRHO
zbnNTujgnDW3Yf/IjCs/GyKi9cHyu02ttutuW4cyaxF+h/zOwoiGRWiM3luHYwpBkNcayEnbMPqK
9hYaJk8TXMKFmFv/cKGHRVvV8eGgtiaPmz3HwC/JD9liUXynD49q6Az8uW0NU9Bz9Qcz127Tgdnf
eGBvuCzacWtmtrUVvSWYklfm3qwR2vcDhuYshCyxgG0cPLp8tMsOr+liKG3mCpjTAOKjQIsXIkV3
mCdtt5nowQERx+LeS+r5zTMrPFLkCvTHjMiavXIDfRNIL9iIpIg/S/w9LeJiGxHj3IppM7B1X0Pk
Aeo4S5cbXvXda4mgcldpZ8B6ShrVbgpi+rBChxh+G1eemeQ7C6X9eIeNsn4hlQnccz1hcwmGcJOx
+linVt7fE/5Xvxhpp9nA0PGsZIIKuunotfj8m5sEtj8xTezWv4RoeFnE+7s5tI/st6dTS2DVSy3D
BgXHuOtmbdzTi2pIPJ6+m+IKnkYj5muCX7Ktl+fqpspPZdzuGYtMQI7AHQFf6h/ZVPWbBoqGXCaj
W+2RbxtXoiFL/qi4mq6Hsk5PdOlJv9Sdbx6sIX0NfL99dQ2tn6q4K858zPo207P11uJb0jjsxIi1
BW/QdRhhvIn6iUGiDOcGRyHwhAHP+bLBCYcddM7n1RB0ZNz53TGdZovUqt6uYJ3Ox9ogIY+dN1/d
POh0k87ZfB/MrayXmM71swf0Yz2VY3sN8IwlVkoqKSuWuVw2TpJ8VDrq9lhR+ZIyw45Jywm5yi6v
Tf65umnJ4dwAB5p20iydr+Dap60ThDz6EGZPS8LIc1LhzJHYLAvxw8lF7XUx48CbHTjuy7ramNCQ
Ngjeh7vIbwh2Izim2Hqep/f+PIXbwIrKZUyY4LORd/MjcAF5mhX2noWJNf5QWkiqlnmkzH0o1Acm
d70S5qC/2LCyNTz9pHwcsTkA6qX0IJGrqt3TWHrJWXrNxFyKZysm0HfV4PPE/E6cnFWH1woNDIYL
WI0olQZfvw08T0F7R0IZ6ynMi1v25sTxDFU8PxSklKLZK7LuIKABA2PR/eOYmB91B1xgGweNgW4M
obDrN+E3t2vDTe6gQ1tMEnXj1FgYnKyBiD0iWOUTMq3hATnC8B6MbsxDV5LatvC0YDHhJnb56E5J
+i1VzJNISGLjFcWsDLLWfI0SKZ1dnSAWbBlIsaEnwi4E3uMV2CFmZHkvfhB+ubhNubW8Y4Wrdp1J
7Ie9Ee7yyrwXM9/zlBTDgbzKK+b81UIkOIG9bpgRLJWTvNc1N8muA2R/JDbGue+Rcy2MppOEZvkt
PK+EogOtYPOlTOD5TyjLoJ7Ue3kJOKngd8kFW4ZklcZJusptOdyGAdd0NwmOVjCym5Iz5ZFVSroh
26xYerlZ3xAqMD7qcjagwvv2Qqc56Q5NivugsI0HrLLr0SLrqBbSux0aO7uqcXIyD4qTZ3Oa5L6v
s25d93n5kdeJxpnV5Cx/+nw3urn/4qhsug5Mp/joG0lUW4MqfzE4znTPOL7aQWyjMJHNzgpFdIoK
CJS6j6o3P2/m44iE69NFKLwsA/ua7Kj4mMHnOBATZH6ZcoaGKP09GSzHnmytxUSW6jHNaL+pJPX4
GQRiOM1Ig2OS+gznCgcbDxLkWF+yvpYYWhsPXq7RbodsiG+ciTrKDAN/47Ym/qPELc/sqthjxjmr
xsBiSdCMH5kzQy4rq6vOUy0O0bJZTSZhTl5L/BcGen3CkEWYQTecKDrjVeLnFtBXidu55LFeCMPC
fKIx0sdEn0VfGLF/lKZ/jW+02WRFy97eCmP3rihLzJ1VKcxNVBlHnolZh1MPBElW8VxdFNNIOrAY
OrCYBMLNR9dphw0YL+POE5MSr0M5e+6hDxrIUk7p890XqfVJkVUQg4M39YlDqtqOAzpy1wauf5iz
itqv9rT/gcPJNBEccRo1Vo/BMLXdlTV381k0xlmbiX1HMTkdEh89mhINXr069qnmLp5Pj6krS/jQ
bILFgO/lIdVmuMsaRDP5ZQ44tMlR2aVzxROhXdtVmJ2cUPb1IgOI9YLBWJ1kZoByo86cr+rWQxhY
isp9Tams74ta1ifuV+YOpgHet66m/laD4B3wjWHisQwTUVXp5LNcB1S4bLuxiWKAydP7GUQa9m6A
Ua8YUbKTajQGJHzf9pUigIfwCSIqWZUmGaGyoVMQedLazhL8d+AsGpsU66Wu6nBeh7NgK62DMnom
45RNRFmCxo+EZYBZpsQAarYnpiO7Yr/pXGD/2Vn2jntLaK2lKMAIC1smuAk/vCk2v4Rl5wFJ0e4r
ZpRuz64XnTVWCWzyWRjpCIEvAxAIFqTUM/Qd2bkVSOphQA3eQzPVEWkFbGXXI1O9hduS3GdVNqGz
+NFxoqCuNRAKEvYS1FueWu+ooFoAfx1Ja54VbVMP7ccYE9Ekwxu2uJ8Vo5NdkBfGfiSqdakRsooy
ulCKrlCV+IveKbNVypL0Xgy1gWqa4NHATsnuEIFappbekhC7p05gwm9183IoNnlBbchvAgEk/xTs
lFZxaOykMwI31BTctMiEQAJBXPlF9OzXYM/RTz20EVYdQhsfSdF0F7SD+MeS9pruPIdY4p0ZBJF4
i/tfxRhHaUa+sA85aTtZ5TGhRbMfczaI8K0tAGNjF1swHpartnOd1TyQL6WLqN27pGWus8Hs8aIH
M8jbTIE0wi1Pjh6/Zw9eyvGRJAxpvclSuRLp+M4mDh9ztGvRc6zQAFzPSE9vBpUVZLyJGSjfTNSL
CnzEvL6Jk36q2Yj6Uh2SvAnvgpJVgxWgBg2rvltXouvQxscXuVwJVHCG+UZRakzENhHCwqLQNoMl
oN1JIRrtSDN207Y+OVjOYjArfL4eAZ5bPRpsbpTV7yzDDZ46U3YvDXEvyTKKUhqWhGTa49hMbrma
ScG5TUWSRWsnLP2n1MrGd2wLwbFx5sEm/ZSsgkHbLyxmoXW1hu2DbZtpcIBNmPGdU4Yjxi6l5l05
inHBwSGeyapI71sSHJAE1ZaD8kKnzYEAj5Ya1GtqHnl9+WxZ7b1i9bkVrffQtto+8oBhYRWX3m5M
q3ewfgqRxUUKQLg01j0fHoPov8mpi0gWDIR3FXYK7c0ckA4YiZIgKs9zLpLAKlmA8+/fuLPiJasr
BAHkXWzJ6HS248RRbbOt28vID3Gcy3HXekwJFl5k+mtCY8qjGfLM5ykkhqfQ1ulrkZLUFzttl5M3
0LiPHoXLJQQ2S0d4TVAEvs+U/jt9e5jKb3/9y/tHFueruGnr+Gv7+2GaqWyPydifj9927/X0njMY
/1Xht//4619++5lfJ3Cu+wtQ2kuCu20CnP/dBM61fgHB6ggUBx6zNusyi/9tAqfELx6jN5J0uQIZ
bf8OTItiz1GMdX1TMn27/M3f9Ii/rRyQMv7pCsJ2EQX+bquCEA+NH1Ztm1cR/wSFrE2JyEZjMkx6
w7tmXTFAbpjzbAOPLXkJub5eCdxI90TEciP4VUDRPFoKyFvV7xiB+SjRalgOFv8GxJjEfyqoPV7k
kLtX8yysx9gOmvOAg2U/ZSr5UsSGwvAXjvuc/+6czEYN66E9mJaV2VofepwhPDRV1145WPkf0J9x
p8SoZTAwlbSGnpM+SNKhVp4v5OFS/t80lSKekDHLqo2cDCMnSCOnDJInVELNoWbl+cQZkZzZf25i
hkGwRPweJFvFrdWjqkuSlqQeF02srclDUgktBaFQwdIO7QoetFOE+OpUvo0b+DfWqNOVIkVzrbwx
u4/b2l302G+uOjYuK2S7Ky+yy8UUO+JEfV+eFVSOw5gKa0PwR39lyd7a9K7W930r2nPRcmQnrpND
j7Iadp2NCW6v6u/SnOc/XBdE2CkrTt3ZV0FXp6j1RlamY+e/mrWl2BLnPee6RBouK32dpqre2ZfK
oa3LaZF27fzuZxaxAHGC4Zt900pGWOLb2U3JuW2Zb1hCEuRVfrJRK0kFbTENs1PXw6tox/Cp7cPh
ZYqC5sEPuuCbOVszeV4eNAYwviZr6klgON2jK8maTawi8Zr5l/xYi0KLEdbsjm/JVA0gqAIrvsm9
PjjFXjYefcQ167rE9ULtNnvxqiBnfoXsZrKIoFOE6RHRUhWLspvBnPVd9mlOI46F3sTkIApoK3VT
5CeVWeT1jnZ1nxJzubKqTCybGLfbiN54jhA54LxVZxKGMYEYefs8Jg5yNM/vnt0+iZ8oecNVUxl3
0knKY9IP8hM4hr3I0JzDA+8qnPdJOI23UiYfUeS9oQAPzmV9yZoH23OUqbJX3QA5YUH8p2ledC6c
l65b2mdyJpK7qPBMkA/NdMAW415nJZBhQ6PZyM1LbmfYnwgfzt/rpkPFLq1hF8YetKep1HvoZWsZ
jsGuQGhDpirixtvB94prQrYmQl6d8YAyyH6NVO3AaZ1748WN7fgpLFO9z/UwvGVsh96HAAlARIe1
Ii/JOw6qalaxP6y0Y9/Go1ndqX7Mln6X9u9oX6onewTdUBedei37MmTb2yvC1FTgmmg6EctYJENE
K/6v5VXY2L5Df2+FRxVBZMKtVV7bY0wT4pXlcwBbG3dBRsSirFDZLUVWEvIWpHBBxZQwhsAtAdzJ
DNFUZugkFWSvFpUcv69Au4nG0RyenCx2D/TTEykqRnEO3JYhcJvI6xhf8rnMO3PdRiimmt6tkUTR
KZM+WpbOWUchVrQgpYlA+2Z+88ir+NY5dnWWyOBrQMHVbAJxwvBJ0BV2WUwmDCZxlQyPcU1a3dZ0
PJEuKee1u/In019lEMxAwKoEcYO61FcdqNmzhNi3Lki83JCpzHOQHYKwVyViPG+ZJ1G5bpXbx3jZ
DO+qZYKGO9F31atrSdIYgtEh7lLbF/nONIcGqTwpwz0Mbw7IpRqt/gmXOFgkK4ImScOI297o84+G
cc1I9R3KN6u2CR/NyT59HQtPWQseiNhN3DxxmcensnNfp9xqiaQ1lPdoInu4QnIxvFRCzvmBAAvl
LFC+TXtjEHa+bTNPmUsafeNLWIyyYNVSui8duwlv7adefSMuPYEi2YuH9hBMPBgZr6EeBbSwwWA0
dYQPiUv5LH3j1YnGlNx3MhnAtJgNkjTU65nYYXQu66UC5nI1pAkR9ePYqnEdShOvWmMMSb2dmMWx
sZF2cR87PRXVQMAN2EHyub+IevYTsDiOE2EYtmV7X0bCOLr1nG26rGxrSNgRY+mkwrshQsgJOON1
90qgqGMvUdxi9xm6wQI900wRwznDwXfV2AGYiJTYn5B9c09Pq80DUxdnb5otE/AGm9wngVD5M6b1
ZlswSSJ2x6JFXeixSu9i7QbPHWy1c+pbn9Vk1O927N9ZIEeKxYwVkU4hLZxNJzL/0Nnd+DZ5Pdsd
q+udNwvakgdWVE974YQwtGKXRPLQ7N27QHuzdxOSBMzsyMpMMv3cetj4CRlZ69qN2q1O/dZaODT5
A21Oljyy1RiPAOnCJ4HMvWKyZzUrqlUxMOGoh2+kmYBS8okgWiLlADULY/Vs6J5kJHbb6K8JnrL3
hoFUkdm2472UTIUeYFHo45C5EvoHgM1xWUQWEm3GyT3RP6H52NF6nHVmo7XQhkjidY7y8gXADb+z
ixjggDflkhqMjywm181vDkWaVs9MrjNrH2NTLZeBi11vqXyVAqJC5XPSOV+coVI8xmSS8gvafZh+
VAaJDAuAd/MV+FrumDYw02eCU7sjz1DzXZjt9MyuDpBjTlwp4OY54dmbK2s58E8zoC/G7tXn52+b
nnZoEWl/AHRtG69VygklJ9ZsGZlb30y8jdsgzv2ncB6NR1H66a2l0NqBxcDxGrUqO6s0hzBPlt/w
jYduew0pia6NEUT71PfW1K7mWBVvhi7KPQYpBrqVKtW9HQNGBCyljS85GiX4JY6ooZX5oF6JbPYo
FVhopO/E1M3l1uj7pF6jdPZBY8RFXW2Rq4mXNqsZPRCE9c2NLC97NmFsWYBABvcuAawebtyBgUXd
J4ADWl3oGz8y0RO3ONlA0of2cAzwOy2Ae0a3QxsxrMBjipAWARuG3/QL3xXdzjx65dPQtJwCfcv5
bpnzna4jojA1rFOCzCvzsiIqmZAa7iWrTlaGeCqTCxIHYbJ76qMZBu0YuG5IZnntd/CYJJMB3RGe
swoiu72+oCK5PF3ZxEupo+AlcEb4bP7YQ5Ml5Pka0X351DWjc9sOsY86PeZ7T2qsHAi45vM8EryD
B9Nq7joTcNTgBT7vWQiJ480EdDOEcbaPL1RL+MREk1mccFwZ9uQi/evMjVmYHRTeXsfrZBZQUBBt
wIxL6uTaodtFUO7l8h0ESvFkVD7YCpMtwZVTj3wifqorZCAjn1BplfHOHEPvXcep+kpOA79WiM37
CdjfwOdLcu3KtdzwK90hgI2085+gYKE2nyuDh18rr/SsknM62eQiGnY6b5MhsXectKWmZzRZ4WQJ
O6ptgRj1FIASPo5WSxQXS5Y2WcVx1LwNSE1QM6NW/ExLP/sW4Bc82IERfmEHME3LsJn9E3Poq4io
6P00Q4pc/Ldp/N/4uFyuHUeij/vztnFb/NAy/v0nfmsakVlcJG4m6UKchv4/vFyu+sWxFQwXU1KX
0xoi6/mtaTTtXwh+degMXYRligHH371cpvWLRwYQD3dlmfxznvefdI0/aqBYbV4sqg40fso3F9Ow
+aOySLpsfu10GNZIDYvFiP9yAzlULk2T682AUPir8ufPu9SfetRfX48XRCSCnunyYfxeyZSGjEJp
Bof1bKGTm63ws58B3+H6GX+9YP/0laT6Q1KLLWxPuJjUkJG5tvhJNUV1KBUNG0p/U2jOYhukFkW2
uWfDUp51EPbnjjtzm8o2X4VV7X/gfuxvmpw06cy3sHMgMCUeZBrgY+muIXpJ+2H9bIEdGtB/YNN0
nNA8dEI2+JZmO1g2MJ2dRTJ6NKDZnI7uYlAFGOBOwfzS5kPm1YiplUu7dQRCIogmkQ0a93gOVi1C
jm+tExW0NGBJll5DHn2Hte4bkluGnjkCvyJI5xu/kgz424q9GlM99lnsfW8TZzaOlfBFv6ssqG0L
HRExv+jcIHj28Ncx+4xoWgB5py7HpTe5pCiGhrstZ4WKPkNxArLMH8Jx0Vg1hSJlbv2ZkaFxcBtn
74ZcD2aP881woVpPzsOFilRCVVfkWIbGfIylnd+MY0ouBQ4VKxBkMMfli5GBI/aEvE2sOd/mtnua
xg7cgS8jwIR1RW1g1KcLdnnJdLKHxEabkZp+Gq0Mh/TuGL3G2iQF+cCk/iX2O/bKo6VXE2AjSiTD
w3TsXrV5kmzIQ2UCCUpQsapc24a/7oN8Ar8mbyFeIB8y7qaqX9mme2Euj9HWQxq7wtW/l4yil7pU
vHyNt1iY4WeexP7C7hL+R0T5LYZi16QsTPsU0XIRNUwZLF5cOplY9Z64hWuBU5ilAWkQ4TsRnOcs
x1QrnfDLgJ9jYQLEJ1XG2KIJvS10vfIun6hWF9GhFd1jtwiXYpQfdhecTO3uqyJJl6mZ4VUcUTMM
YbmUjbpFF0GdlpkfiZNtlBbVMuvarRLJp5COXuugfrH5AzGEV0oln+zdT1kbkmOgzaXuiVVh53UP
G3VLkAIUz/4YBXrbKozhsNnXJfr4pTd6QKWqoKrCU6KsQawS/MbXVWtfxaBP8j6Bic5CfKGG9Cj8
8ZvTETqpx9rZ6Iwvrx69ceGT+7PoW3CuHRH2qHhyXALUZ9jxvCs5RSE8VBj7QfM8htKBdztQbyhU
UU4ArkuFJ0KJBWwROOB0zMFSuoDxNXpy2Fvs0ogtcmr5ooXPG8BCIwJeLh3iL2DjWWESiZE6yl22
pN6RHA9qSPDSQFuBGRdtv6rZsVy6uVucDP4yKIZpYaQpERcZNyq7mfmhNZp+ETTuwyB4p7mbnXpi
IBaWKNm8FsX6v4fr/+ZwZVB6eWr/+dG6i7P3r9F7+k8Dw3794d9OWf8XITxkjGzpLU9wdP5NHOna
DG2Z1f79wORv/jaaVb9I2+bUcx0XYQ5D2r+fskxtFfpjxJHUgu73v/ppFvuvZrNYm34691BnmpzZ
toUMU3He/+GcRYuB2IOsHryJq9htpgpiCQ61EoXdV8o9egER+U9DZXtbxxhggFpBu3KHJNjDepUf
9Mj5jo4O9xpSxi4jb96CIvEGIxtg5eyUaBdaXX2tEMixla6aZTpM4RUk0/HOu8QnF13+3XrW1h9+
HkzbMWrcO9b58bBmuWF9DcCRWovccqINhsbN5HdngNTpkWPcZCrmtPtqDmHOEgIxERS6iUufhB82
66Ufdi8OKKIPbTjcP1E0BduaM2+jchOLVZqk40cYW8Eb2T3dYSYHfmU7Y7udyTHYoSXFFSxFvm3G
qluFMoXrF3vX6BGH9QSFe1dExLZWU8dco7KYNSCNuxnIlV/7CW6pRYapEyhgnsyLOYjLxx4k/LeY
EMxzKwx1qLzuYW6Ej2S08W6UW1nmQtoYx6VTBDRKMTwrkMB17a6DqKFrm7Kk33rTNC7Z5ukXoirF
gelwe8i1/EoYLJE8Oo5PcQTxOHa95j4FDgZlpgFFyJrHXoTajUkPIWWL3Gn0GXFjnUJQMF/KkQ5l
MTa28dlPTnvOmBe8FLR9Z75w3qeNWzmooMvZwroamLVDvfEQ7KGiYL4rvE/OPaI9nAhMacqa/lDp
i02HpgRdAWkNc0qEWayQKXDBW3xQRn5vZZKDERIbO9hOvPQhz8HKSSt8Un2xKllZX2bazQ7HVLUa
lM9bDyUBDmFrL/re7ksC01RCMG3w5DG/WtkQimDlkFneN7SI7Ryp15EB566THtFXlptdcrLAMtZe
NBDewkqulgPR8kEDzMuVK8nAYp3Z0TeUOwFjkby0r0yzT/ZYt2GABuJUtiI7DcXsf6D2Cx9Hgq07
yqjsaRplevCiwHkYSDKisx79inGy0S2HkgKD1YHI2VsaMMMLC6KoVXflRwM5xb8k/5hdWG44qeTV
rEhLSAZnRNmadoggJVdtTNTxY0oxWa1GrDAbI+Mz8xNTrIw6795mOyqOhueVdwyk3CMgI28zDaJe
qBF5lXUpKFg8lpPrPuly5GDPmDjVBurTekpWg62jLRzN/NEk+u4q4t21Sxth11oE8M8WVZSEV4DJ
whs1mxarD+pW7rKZSXE+kP/dqIGtcSCmZQdqjGRyO//qoc7x2Vsa1c6wa2sDl8yDyqoJrC6+NuZ4
AOmeLA0xrKRojU1dDOeshzXuISyAh+I8oPZYhWYu9yUKIJzCkWOsfves/ieuGHV5qv3D5+NaPPUA
DPGcNsFS8BD+qdonU8iFAcPjgEkd9V5vF+xBS3KoIi7HvDwxP5PLIQOn0OQvKRTGaF1UdX1lwdCD
GBcQG9bOPQ7TLOpWeZSnR7+/5PBgW9Qn/Jv5S1GxLW/cIVZsiSMrW7dtTagB4xd953+/n/X3e1uB
lrT2OfeFs0f8rQ6DPUFwGHpl5WtAmfrtX79196LG/+G9468ipfx762FhnPm5s5qMli2dDsXWtEN0
LRmGUa3uDW98w29JPVjobmm7YXVy647MNmgaGN2hwnA11CVsWyO0a3NtzxFAo2kOcKlKe1jVSdp/
YwwTPkTZOO3dathZjFUqNVfjUnb1m9e0mwJe1RYmxkGm0ltqHX+tqrFYcm1lNyPY9z3byGqFYRVn
u0merYTdAyhH9/ApaxIM875WzlJo0ULp1nIZDMTy9A5kd9sfs5vOHfw3TIz529SLfkPWe/5FQjS4
skPU4mkIdz4aqFyLdnBfMNQGeydTwc2Uxf0df3Q39dzFL4mpCDzqh3mFhNJbz5ljb4eunLeFM/w/
9s5kt3IkzdKvUqteNQNG44za3XmSa5Zc2hCanPNMo5F8+v7o4VUdEcjMqlxUoQvoVQYSruHeK5r9
wznfQZgDhvMYxehrV5p8vV3Uy+h+wnA3rPSMTptfW7Pdy+JdZgfmHncj1SfR9Nvcoh3iDkJH2XZh
+9RLUhYjaE1PzM+CTcP88IcrgmiT9Fl2BuHVrcbaSc9MRCN3rTrpPBm9I6+D2TfurU5LqHpBxN3i
i+qLeKvxyUUT/eR4VXlDTGF74wOCPYm5MA+WaceXsBHtgbXgsQCw2w+xv/Gqtgeu1o09IE6T7ZPW
+nbURfYNxCzmhzg3E1iIrDzzSRFKMDXtvZKYWpnoM0UinPLdRuLxUIV2RbGaP8Z9Sj5ZPztwYvtu
Ll4LUeurGYvDZW57olPibjyX2HkvBRBrhMR5cvGciTFw6/nWrjXTiUyHwqfjaof64tU6vGZIX9+6
bIxRapnRdHAKtDMOas9t28J2IA45u1E6rq5cvBibGIDSoqKqTwAeoVAvp0jehJQr3hEnPHaE8nqS
WOOZ2DU6L2BjTFdj5xp7sKN4bLkm1hNHVbecWZHL6RUu55gVmTHcJMP44S8n3LCcdXmLuVO3cmUj
J8Kumzv7+efBqH4ekpwUNpB/Ts52OUP9NuacyRM5cxDEoofLxXmLJrl8HJczuJX2eCp1xZlbS3Cr
ZTiQU6InTnQSW+8Gr6nOszDVq8PmaFNBAGDy3UrMC8vFkC53BEBLiCG5iaw9W+6QBh+ZcfDYviSA
tZYrSAQ17X9gTD2LObPxHiZROdddndvhBihw8MlCioxAvzIzZ98Jvz0ZQ41cf7knFdDuDeJLbtCy
jvx3XacOVwV/00wQZFKfoYcNnKHEehyqENN1CPM72bQ/r3RwM3yw0MhjNJnJsDMR2gEU7viIvJ9V
w7QUEAaVxLyUFIyZKC6QbpNNoDxnEy91h6B8DIO4WZOaiLg1zH1/C8p/PBe5SUJQYIzH0MEuAaWu
QPpbx3S/RXpMlZL9Svkx8aBDYK/LsVJ0gXmWXTmyS49WXwHbiQr5HFeETQK/8e/KyQyLVdvF3Y49
dvDVzLW8GVmYfQy5Gm6SbkoeDXSb9yGbmm4TCeUdkdobZAuQeoAey06Y5Aaa9pj4j2+uYalDS5bL
FTUdOlKNx3ZBGkjnpgCdcarDuvjWqyFIVrX22ndkXt+FW5OjigKKrRHMY4IufHPvM6J+8CJeOJpP
eWyNGqZljOsAGA5LIsDbWKGtzDZunLmyjp47wmVLK/cGN7ezTjyuLoa61UMNKSxBiEnooWUk5PEU
hD8BzRh8Qs7MmqD4YEy7K7cGYeQOOiATJxHvYzCrD6sqa95jBPUoeXnQdprxklgxbkI5GSEkfJ5Y
D+/hd/AU44NNTkgvWea0vnEKmkEfmNyNp9Rju7U4rDEwNm6EfcQQL+bo38z4aR+wNKDHqwwgipDZ
TkD9IENr23dv40lmr6lFigPsF8daWW3Rv0csal5r1Xdb4dlkt1dZuOefvAuM8dtF2rjti9I9yzrg
j9/w+pyrXCS3BgndOAXyqgO8QhW4pNfZN0vWaQgEZe24TIeq2l2gRV9CGowB+4rJDmeiZWyw56A5
S/pmuzg4v1ddZp+GqVNXIMkwYpisajV0Cr7Ym4+ejDNewEI49inYt2gfiJIN3FMg7B/Iv9+nkTgE
LrCcBimsyqPXOj5POyrNVZk20R1r9WnPyUNhHWbiKSVYg4yp4sm0a/ndbkx1GFReP2vHSZ/DTrRf
mM4wkUATOAz9/IoB5MlyCT1DhOK4R8eurqSrr1PmuxT9o1orkk22UJPngscKU9JWDAS8MHQjQBhl
p10ffbfn3g0z58TCzDrMfZ1uTVCzL4nB36mYbXketaGwo7rhByplex+5fqqJhlnK+rkcKZRHlJBj
bH8qFYf7wG6MnYt0+5K0RXJG+h1NZ1Ua1R3gP/kQ07+M66Qa+68hQ2WztrLOv5RNyWkzRFZ6D9GV
ic68cFRTSNk7j4gi9AToJIK0hpZjhI6bbLygdfmuxDblyUCIpVe3J4mYmeen47UPeXgENJKeATX1
SxAAYhZQ2uCHaEeuM7eLDyWeli25Rh3mwXmkcbLQ5hksT8cgkPvE4eePIve+F1SCCXrUKbgiknfC
wAWC3DKV9xo3ibknOSpdhaQIKgaaE09tOwmXNhSi0KquOiCk3QvSl6vZEz+W+cV2MEPzrR8M7xo5
FNdj/dDB0mPfBXnvTkbtVEBPTebPFMHGyor9p4JJ4xoKoo+0sTQ3emj13hcNQXaxNe7FEmQIBl48
QdskxQsQX4wHBNx2wqKNEApZ39ZeWGAwQQ9mgFv0+wfGE/ODCz2hXmcCviCG/QtiX0Q5WAHzm7ys
5BXibvT5C2UdfYaEuJ307sbuW7/cB15g3DNtt24ss9Q/7Ow97GA663qEOBzNsUsMyGQf2iSjLDLK
q4LVmS0aUiq7nBDQMk/3JMU1nCKSHmPsjE3hfE5oD9NdAMMGjeUEE1cHnrmpEfz0mh0tBeG5l6Ca
hPruZ6/VfMdEj90567KmlOmP1Im+ZVlRohetxa3nhM0Lf19cXqg2rjWOzHMel/V3omBYtic5UwiI
vQZ4c57ol9np9KNbBNZLKDLn2UWlse5FZx87dtAnboL44uahscakQBhBmBNJZnQUFWl07NuU3Z2X
kLED5+gWmZR7R3ja9Eq8+QzFNiqO7WwDc0tdmzwrKFLEOoH+5D71xu/s1DAklFA7F5xEfCBMriA4
cGq2NrtT1FnBeC9VWO8dA0MIhEt7B3UgPdiALXD2UslOeThth8QcD9SQAqlt5btsby0R3jh5WR/t
Ro27KFf2NiMC6bFNqPwGpN8Y6BRZ2nYbHKI8j0G4JROMjRDAD78DatQI6fCA9Pt7M0yLPGmMojVp
uyQhc4iuIJfNu2G5cKGQonQxs8fcmOoTuAy1RzxOQZax2CHNjJ4fYeMDnsFuO6u6QiaM+3GF8qFe
RKueXPe5oaHndRlPYFYKDuyZzIi1q3iy+FWqdR8UfMXQF0Rvh6X1NJVJh75riQmKSusQZ5wQoVV0
m66HAwOJqjiUkhVyDwh1ZfoZ8ZkpnoON1o1eRxnpdipDe2WG4VWJKKAM4neHwUyaiWMEqsGMw3Nb
oOSQGRYnVcWsyKHPxx5ohdyZpxMTvnJD+XBHX76WQa55b4sRxK8RFlcxwvp1oQdvw5xg3iajQ56q
TMhvxH6Qn2Pf8XgLQvOo28oEpTekFAxd+SMOMbm5Gse9b03GGu6oWa+sEAlaSSzCp8yr7KVM7DYH
9SDDO4IWAuy1bn5Dr9KfbbD1R9TnTJYQTVlPKWDqNUEx9UvhLukcdV6dcV+m9H91eqjRNRyEleR7
e2ibSwkf99AlwFehLAMK90Cz2sGM4ig19zxh1mNPu3bTGzgiSmRS26Rg9hGjLTQFPqc+zc6VdE5j
d5h83k9VBi9IMNeocvw7WQ4B22cvfQJfYx+bLM8vXtLBoOERJI+ZLAPL1eo/2sT9rVYYMLKPFEsE
UgR/WcTptJRhyPpzb0xTt8Wt4n600QAEsHFKPwDPS/9L+EUEW6bE0tKi3cAzENcGuPBsencJV2xx
CTrxdgJEyOJ+mVcy04EJqTAMk2UYzzY+4p8TToETF7j6yIBwqlz/lGDchQ5Nh2is/0um9v+D+ASA
MAI2zX9/Hn96Kwr1L//rraj/9V/Ob11cJO2f1NK/f/2vkbz7m7cATKlvTNt2mHr/+0geXsFC3PU9
4fI/ywr730fyzm+mFTim7zF+Z3O7zPF/QUwt+Zv0gHUwyrdhkbjM0P+JkTyb7j8NaAyEOagyBCs+
/v8/AEZKqSJTMUTeFyHyHGJING53YRPfp5LhW21nbrVdYnmTlWmwD18ti98t0rbmPI1kvEHUanZT
7LH8LYkWERMRjzmo7EO+xAQbfch8qjYiE1u8Q4oihSKytxBgQFP107HAabrK0Yw8Q+bv9h5N6rZr
RHxAdtNck6iTPUdtyDLAI2WtWOolrfLszDotOJazpghZ6qqijNsT4xQi1cwgeQOUivEbjlqyCX+W
Zd1SoflLrZYtVdtAztOq+lnK6aWqq34WeB5YmcusIrScqDT7r+hnMchUUj70S4XYs2Kdzk0zQDQl
B/VSy9HYhX4V7ifKSzudwaP6LiUnUlxK8ExmmrhZklOrpTolVGFAGUbF2qRDvSEFYH5BkZZumR9Y
B3OpcTMvnh5UhuL+3EUdlh6WvktVrAqxiHEKgnIAf65imQMGgIB1drBNvNuIYxl71AYbVAx76c8a
fKnGq7TMnplz1M8Ra+KDWKp2j5bAWwsHDEWyVPfz4ilf10iWPhQou5OlcGrtKYMzAWcMN5Em3Lha
ERJlPBhG4Y1Xs+2xLJlVHvxgIAv4D1H7UrMY7dnFgvJm1GyoOaGHYG0Ufb9NRC424ZzyXZKaPEDs
nW2/RYtqHEpGNFuEU+ZmzklrjJd/ifYE1xmZbPKOMXTxo9F8ChvZWvUTVAmuMT8AgvfIcNBnizlI
9KYwkMhQzkWBUMvO/Oi6cD3rGBRNfONISkuzbkm8rupKw7o02gphp4qnmxAMLscgOmSbbylvWn7F
NwWWgyGjgWi+nBo44p7Rj9RTWH1CVOWS1PKiPca2Me2K2Ax/TLXL79QhC0dnaxJKwbabAKxtqBt5
57ld+MZ5nPnMqtmNO6Mpmesl2KTiYAooxBvyy8Kk7zaCodhtJWXOeCKoCUxRqEDWEg3tXWLn0Q+0
+lCowqpmBZQgI3Qqk845b9ueq0rPdBWBnyvo/L4hPpkdTW8z/eujxY91NpVhWj8EcwEe6cgBvQpW
qyPd0/KFwfPT1WCgBsDczMNL39rkVCywOXNZVZtxIHY8cAjT3knD8+2bOMEntOFijohNTUd3mdUr
sIZIZ5173HWZXlm1Afq8d7pSblOz8ZeoUyW+9NRUR6NPTDKUijnC8B6VSAcMETonE1pbxxApCO7y
cfyQmPuPk1k5H3Y55wcoc/3dGDnMxxUSgtls7BveFKYqpl+PT6ORRm/cpiR2uuQb1FPYM9ciaYGd
N/hGLwskO6mu4LXOMUFGlD98TiPa6TNlLDerA1Z7IGYxUPVWM4s9sB5kRC1r/ARDHXyh/jCzzdgb
SNy8JH5P5lS/RyFJOW4TTt9mxiE3SdkZp35yihvgq+j2otZYDKXmZL8a7WTRxXsWeZQF/sULEE6B
QLsiSDNMyZ6IBQksqYl00w5e0YPWW2pj9zIP9Bm+IvcygXx/IebFefXtiIiXcpmjeKRUkM2xGORr
j7MHGWU2rM3MRLk8UAQeUTpXJ/TsNem4VAzJpvdkeElTbzxMLoHbccuclMgjP7w4nUnoe2sIMoOa
1uvqRVku3tg3BY+upeAUdl1wB8P6diohLkbjCM3L9sudY/gTGgRH1Q+uMwTnos7HdWTbyUclYxsV
8DzR1SuxRx+Rk5NrJVunS3xG71V2kInhbHLg6nhRG73hUW+31XKml0SSb5oeU6dLjPFLHnUAHhPi
0PYOKzn09HnyzeDcuypAdF0HHUDU2AmHDQFv3Z3DOX/TRAPR9SCixvWgsmYPSN++cZWdPZgdAiIT
gzQLpSQbtsqXwXkmPuOAVig5EOKr96UdGSfmNogStSwrWkF2sZtaF+lV5BQa/Y2l5/fIIGY6zYrk
rqB2PSI2viUvCO8npyWmFPTL8oV7OzgDtqRfd5zJvZ0FS0KQIsBtm0AUJ7/vphJ8fT8yXqniH2ma
RXf0XeGDrPHi8HQwp4k0/FOja8krRVT6pglBfqb9wFsrZn+Nvag42DamFxA9poEJH2fUKhm0d1uM
lnfJ29klKXvWl6E1bCw2BE9A/zDDEzA9hNsi0qh2k2QXxfBO4HdEeIXMvt95RprfOR4w6gRwOSGB
ddx+Mf5K4m/SG+Y3AyU9G0/8OBKITuWsU5isF3z70TqaQqTsaFUv4GqGFyRd6Y4tD2JZbrH9EBTV
csb7cU1PBz8VhlLJ8taqv82+ixNwRtH1ZQ1ViXyT4xcRO4N+4c+ocJTffYSzj/ZqLuVu0I1xmv1Z
fRXMLJd03+G+jbiGVp7tAJVkaHkiVCR7kwk7T3opGV1H4A6YtiPv2TUOnEnEP9ZRKRtZS1d76uxp
0zwPBXvCwBAKM2ma7AnZ4qQz+JpjYkas2ppwvEn92N0TpJieOtdveDf75jHUJXHrXCcEAk4EJ49V
d6edlvWpH3oPXRoMN/GgmWQRsL7xGbmcyX7+xkK/hDRjEEA2wzACiOB6l4B79f2/pED/u5ixP6UM
/D8SK+CC2PpHFfqN+lQf8VfbTn8szBEELl/2e2HuU0izmoRBBKTL+113+jtIbNHKUFuji0f18hdF
KtW8LS3GbeDFAl/aVPO/CnMTh6P0kbdaFupnWoB/qjBfdsJ/3Bm7CLN8XLse+DnBfy6YsT+U5w4a
NKFq1Wy5yl9CxqaoIQmIi5SHogVMEZgoZiiBd8HB/PGHd+pv7Kv/KtL564/+S2cgUxMrn+ig18P4
X0UxYdExKc11Fr7rBsL9P/5pcnklf3ylHmA2BDC+5QjSHKT8S1tMVHbq9nDddwNYdJ7bsCeiBNM0
+rtsN3XMx0Cb7/mkm22eK/w63uChUsSONLjqO8cFDJY5emIwezP13hVs+bWlcmfVi/C5WdydWYOU
nfzHs8lM4XfJ2t+V15p/49dHnsyOiOPVgU5o/2W5L1v4Pu7Q2AQD9NXBQ27IiL83Wujh9kQjNJN4
UE8MSjNrvEG3mdzbwDXk2CCYRPyxEqr5ns1uRP6jeDHs8hJb9l5W2XvkDQ5Os+TYNzQWo+bfygKY
R7mciJFGH0ViWrP2p+YYNVI8GKXgsCMqBnNdvpkILffm26kS65RZ8eDEd7ZDNtqk3zsq9UzH20EV
GyLaegSq2S0twl2dT/d28zkt7QYbiNcRnPQe+820wQ7iXVUgnNjYY+MD17sYu0ku7bplQerzYkaG
YDbEqD3b9ujBzcRtaeQodAJ+stUM+QXf3/RGtC8KfyRLCK/69iwRRRF6VwoP5UjQbmxTJYDK0RXb
uW4OgvzqHeuScYPyJjjZdD8XYDrzyg7S7kYT9syR2pWnvqv8V0sQIBOVSXXtU4QyEqkRzJSu+zpm
YbAlXUe+185MVpTqxWkwz1rG+psWM3Iw4XfdDod5tXNcOZ9K0OArQXYj22hzR95G/Zkk6WcSVe4R
t2JAhd7oHXKHW6MjZLGa4hPZkS/cbKeG0omZDlmGfDQOsIiDiTNzXROnfdBFCCqm6Jor4Kng1qoH
D+bTf4BgXUiKf3qcfNaTNo+wzZ+kJFdw6ff/cHAgyzSbup8IIsnzkv0+yzliIZs+JjeVEOH9Qrx8
wKk2XuZYGa8xsINmVfsNoqukqeCAWY+MwNczouGzVsr/GomcvUdjm++xki1whiXTEX7HM/M0deWN
ofjx33tf8fD+j8Rimq69oEb//tjp/NW+5W9/vNB+fcmvSZPHPAlHNgJLkFL4GDiKfl1oi1mCI5a6
+Od95vFH8W8WC/mbJ3wcFDaNnwcYk+P514Xm/4bNj7A+fPl8L/6Y3H9m0iTdvxoRSEF1oXIKKRCm
Wpb7l3uFs8/QWWbiMg/JZQorOiVVocpYM+5QlzIlCY1Rvzy7tAkHUcBFZhqU5Wu/CGpG2Eb/bGtb
MO5l5fHdrRllroUoqyOBuESMBH7me7SlfUkY2uBfi7h3/ePgujq5tIQ8fdizo85dyZYOq4Kr2rWq
EjXsIlTdyZr8A3TjvQFWa9UlNYENKXSDTVzk0SfaPKdgcu671sa30laveiRaDfyjceQZMTLvEetv
mm3xP48XZxbhee6aViHSE+5zM2v5HHqg9LvY0NdI3tA2DTMYLbcUEQeRT6ZhksXA+ujlA+LdoPB0
pSbvNDcEYo/BLu3hRAAnMzLNUIz2aIrlvSg1iTckgic5stCZmN4sMvGPakd4Jek8BD1cxx4e7K0T
g7dGLW+zk+3QoehrdwCwcZGuTRykDJnfrwFlYuRklTTCeveiVqyTtKiZw4zVRSojYd2dTO2lmlLh
IEVFRbZ2gbTGK5vQ53s9I3xiky3JEun7Me/ZyvTIjDS1NPJHXWcfGcuimu5e5SjYu4wfYLO0/S6S
Lr3OONwPfDL2g/DTAXYe7XVYTcGNpNLpEcyn7bjtOlE94mShUJ5T0rj3bgTgpm5HEXFOtyNAhMy7
zRrhfojRp+NUTMDRDxPD45Iq4bNu1qmbb5XTyedGJerZjxwb3RYmUn/tCyzda2I4mnNaKASjcQFz
L/UbNsp1zwT0aI89Ic1g5kZEe/yEjdOLodgqZVl3GD2rgxM1yW1X2H21GoAzfpgiRnjRxHKiXAmk
/oZmLWaEaeWbiHnbl13GODbD2UGIGA7ByFsQzsHRHox02jROIsMNEjOTf2e6r43HoG5VuIJUTz0H
xYgwxa7tnUYd5Rym0QDqPSlWZRtipmfy5Acc0g1S53aFsas7dWAYsw0THjI4Gx+P4UrUrfrhmvNo
b/gWZbhORE2XjXETkaX0G7WDX+vTwFlleFsMI9vgesr0Lht5YSsdBzjTYYLVuAAldJyGWPpPlYAV
O/qFIdZl6BCk5+ZpVaJYtmMf5ozVF/ckJfubzlNswFZDXkhDLkab9Kkm9zP3FFM31WpAlXTQ9VnI
hnRoYiRy0itp1TuRPpVSiz3l4rz1Enu+REGXn6d4kDuCU8NmnWTa01cT2FpzsbtUT61GnACv7GA6
A/kcgYWa4GSTlXwfxem2zzuwP6TZdDNSNf5SGohdV0L5xH32BBFqfgCCSpwVRlK/WzjUL3JA2kMB
yt/JySCCZnpixI/HsZmmQcA0ICsx2zH8YExH8E2KzqZIMywZRhPfaVW67xmlDTIGGsf4qNkqz9dJ
lpvT2uSRUbvAqdFcaT8a8bujCbT8o4sWZr62IjXNVwYBRU89hW6G3RZg8E6N9kRV6MRS4fjsJ455
HBuxbywKbGQjTOzfqrE+wztNGcsy0ZqgFmLEs9a1o9j/Og6vdvW//2/HAZq4vunk0O/NGrjB/7/c
/zMeD67Sf7xTuv5MuvhPl/uvL/nVrXqgdbg4ER4JuGN/gO745m9LD2s7piBI4HfPx6/LXcrfHD6/
BWMOIB8qD63ev3WrHtZKabp8jYk613L+Key159JG/6nshNzAogT2D/m63Iw/s/L+UHYmg9sQ2Y1i
nK0uD0NVsOnHA2WIq9hrYwz9RMApcIjbANU70edwAy+mW+a7MB+bM8HoJswTAVN3sBJioMOleJey
99TKD5kQ7iWp7lejmaAKCAig2EY92AmuGU0ARTA13+fEyTdKVqQ7W3l8KMjWOqhiQNuygMMwcZXX
CZuwnoCXfgg2GFKpAIqMyCvqd1tpdhdtWx6ln9vnZEzwzqva7rZYFo0rwA0Zj0xGDOMK57bxFXYK
Yb2vzeA9CVqfMgQ6GlzK5ATyhdMR9CmVtGO5z+gaIeFyYtKRZDXxXkAw2oHVBtplaOBl+pT2+Yue
RXKVtMlD2DLSdaJigJTitm+uO8dnW3JwwLVx793Zzq9Eksr9SNQeAjRw08lUxoR0GgbKUMEcryVP
tyrnbcBbt4WwFa+Npg1XxNzpu5bgEq4i/8qvxvwsoz7BMc0aP6qdlXKr5C70HbJ8zTrfQjeYXse5
ci8xBQ3bFmGU+TohewUJlG9Zp2wJw1t3wsJS2amasLMqR0dmLPv9FW8avJw8N5fWYtQp1zDLpUcg
2OLGnbDiBEOeB0cy2yUNcLrIn6xxakEZyu6t8mLdHDVCjrMbMflciQplbuUXpEMVjT8s6VfMB866
NsnVJrmO49nwgMcxqoyCm26ImPa7vWf7uxJY9qkbmaOi/gAyKEK/geSvCuaerk32s0TS/Y0rRH5L
uHZfDZydu7DTODRTomp4SUN+1yB3fKyRam6d3h8v5LcN171JzgXIkwEdpD36TP6lbod736xijJmY
T54V0tknsIEtCgbdmrfEUrrXLguyYuO0YXVQjpcfsNdqXISK3LGemLV3bv30tkPFubWMGFwxYMcp
umheEvGpuVltHQaY4ZqmNrmLuUMPXAPi4GbRuEOvV+TrMBuqQ1N71VUu834XDffI4xDY64G5bvxU
aeTxVTYN31TPewzgPX0ZvUbdOFU7AG2nqPXb8rofzW/WNJmbTI0zJVVuXaWNwVvGGm3dIqe9AlBp
FfuclQdPNSFwBN+2CxESyyH1EsjIeauo2ua1UY/OxqYK/PLS8KVHbHkB6Vpe6SYYwVoRh0RCiQeX
lMKJ6nJEWTJ3TDoQUYTXaceMH3UHnahKENAjUTYhObYi8W6JWe6eTGgNPTK/3LvqArP9Pkq7LDZm
W/fwivzKPTt1qMaj9mWnjmUTuQlrCcufXm3Bh3Tf+ewfOqesPnOkFoxgzMZ1a1pgQsOQ3FAkms9G
FI/jMU5hoWEHGlBVVpadiQ80n2FwKSvqBTZJVsJHsbDmtfIAggD3IoZQmMP0SK1ImrbqYVjIEZZq
XEEB5RrOwE9wfae7RHFMrziiRbb1HJU/J8mo9ypoUYNx2D+pJtAX0+q7b6BsSvK3yAwh4M+lAPDz
UXx6uEswjYX5FQsrCg+I9buBoD6XfcpsXVfmOL2XXWi+5O2Yr722dw4jTxEnbB3t/LSvH3QiyQ/O
xezg9iLRrfqMhr66nW03/ALAT0abp+bPVo8DyUeCb2ySlBZhMZhtxjgRhPuHxKBWpHzu/Gjdw4ca
76au8Yat1wG22Hn4MuxjlFrmpi9bDG0JSBOywSSTmU2hdJFflYVXyyO+U7ZOjky0WplZND+kypYF
ikOcgeA5XJuQduRh7h6TdbRYw4PsanQqg+sFcXBtxgxGZ2WiByDKbD8F1YwKfVFP5dF13hX5pfUp
tg3YNQSs2dgZLC4emMhdfUKyOONcDly9n8axuIrIxnt0gGZf+ipgC8AKv35VZA+4qMh4JFaAbWGL
eYpU0cggGX7XeBB/18hqvfSQRaUmzT0ppg9hN+m0GrIpeMdqZBarOoXUs6o99i6rqRFlwEhmWYmL
YgJhgWjKhpSJ3eWu8zz48ygQvfgcYutBh6tUFHCDVWVyTaJcC7YGE9UxnWv7qGtp66vcrvTBclye
gs4ozhU7s4MmATJYGUih12nFMSl03N95o+qJzWvFW9PPd/bABJoGLlT3YsxsBs0GMkO8+K3Hvh19
FbPHOXPf2mgS+QZrl/vcKkcFa9slW+CQ9fMQb1XjgtvuWOgzPSMubQ0yYPqiKRWPbJb0fR9EhNdX
w9TfuxaW5YZneDUa0r4zu8Z+hghWkMJV2iesgRXp5e2SrjZdzUFuj2vlYqTznewyB/NJ9jywK7aX
82eRVzZ2amvB4eBtBEaQxEVn4AcPXNLcmqKddqiejHJv57b1g8JpUrva8Ivp1opE/OjEsML47sI/
Z2bhRnuYNtZjOqacd+h2+vrUVAHopZZ+8NrwCBiHRC6D5zoPioNZpjYmN3Sk1sExzAFgvxEyrXRj
6rUVmgF0fV3W8UGTPpEW1x2S+n7rD13+smirr9uUgp2+iHAkYDZTSQ0RjLQGXq5eGni110qCia6A
SrOwipzuvkPg9baM0uXaUZ1HkxtFHDQC3Pk6zmXTrCWkpGtedXMKY8hCB7cWeoT1rbqvLof4TXSt
jugQfAZCh2rqibNrleXFaxoFFIyxiDmw3dk0OjQlhWa+J2pyV8veRWnumPUns0snQzU6ELYXQ/xZ
27r58FnWH2rACh/KHuYE8zzy43UvsdevuZnmLVlG6aIIF9GLE0btBXf+8GwkxDauiNdLrwazevR1
40hUQUkEL9DznHPRduk2LYZUMYgpPwmCBmCo8fbPJSlXbZPxmQ+0+d/GrKbNYsEHJr/K8ESolEl1
Dmti2gFaam7SZJ555MPeINUNgFALRKuBnKWylg0H1l6ToZFcqIAFmH+GVGnE4gUGnGH70aNC8PBF
Ui+ixXDQebWtVAVmLZmXOMwxKpoN8ZZ1w6mMcQpqtb0kwlouSAOZFmyiVfg0NG1Jwxa3+9bt5apu
8hqhDE3sPMV7CtJDJjIk5m2aljtCIGsGEjP0rmxEa2n5ulrporTZx3scgUmRdc+wgjKCEPpxzb3P
eZLxV3mKfCs89FFeXyoYhw9N6EPO6sNigzRthAvl5vm6a0XzHrWFnxACH1sfYwFrNwQql1XzC67S
ryEJAeOi6mEeQa8LHsGdo5U9+c4qYF5X7cOwmMQqS2LUv0yiliVHK76bNrfRc9xURrGaR8u5sQbm
bwSBwXeyWoBYB+LIyK/VgZKgu4Iye68jZyT2kQNio+0K0IjrxwRJuFVQH1qui3XPHXAcUUbfVUGi
n9iXNytH51LvO7IRlRGX50F6sbFiQxJPB6MrYC60RBuQGSID/YC4FbWt0/BLA78u3j2TIkEmme1s
iiEzvlrbQD3k409YEmjaW04gQX6EsGpoZFnVgYXTAfkcJCMv2QjBDTLj9l6YLlvm0M1wUOipbF5d
zC7IgeoUKTwFGjmv/lh/qMjj6fB6QnTPPHgUhkkZV2+Bq7oHJHHWRdmWvClGs3tkdov8w6oV+CUr
cifu2Why1kNiBHtbVuOBvx4doz0S6tOGlZUcqjkJGJR6+J1F5dVk5LWaPQMk8nLYpB1+Qblot/O8
QMZvdF70XTLgZf+tWZcRHc4H2FdWj3i5NMw3/DzqZBJeAda0WIyW/lKC4VqmHihm0hVyYSFGpiZE
Bx1M3WUK3Za1/PB/2DuzHcmRK9v+Sv8ABY5G8tXpU7h7RHjMwwsRQ6ZxJo0z+fV3MVXSzQypslpA
vzTQQAFCDSmnO0mzY+fsvfZUaYRghLq/iwo7B9syJG/JMLiXmacnhPKOqtjwm+l4or0YUUZrRDQg
MNoQTxiWj6QyELrRJfAx40EL+soyDgYup5WHr2gVOd2wYVVF1+yiYwQX4Ic2irjEigJJnMJDIjP/
U/oVr3ZN+/Z97JzkVFeOz/glhmSK5KI23ukYMkzUUebHWmpumcUZSG5IdSjN8ViH6M7UnJKGakXZ
tZXMxbl0RWIGxAiIgOYSC0tVovOoyVx0WCTf/IxpVekRdEPXdn4HopxnDFAmuXSdkvfKLGHBjZm8
63IjfTbDXL+DW8L5z2UPucLiFg470ygaIHWu2aYBLxYwL/CKyHrimpkYr8VmzIcWnoe2hyY6BUVx
NxHhuVDS5+kGD4JHEnZFxmrn+u6RCIcsx1bTZo9NZEX7caa4WLxwcxSgcI8+hVVRLJahR4aPm++W
5FPGaqgnj7L1u7MwwgiB/6Dd44YHKR3m6iQtvgaVkZFSukB+AWFCeT9P/b050IDmhoYcv17chNV2
9G15p8r54afZxn9nDI3ikT6CwfTbZnRgL+OEnzoKNN0HAjwQqNKvROJMQE1PLoXQjgirmM+Bti8+
f/+J7tceBjpbVLdMQXTdd8VXKpNncSutqp13oDWTGwR27ZUdLTrFwnAP8Qzz21i0rr//0GW8/fP4
W/A1LYsJv8/IxjQWxNXPX9OMjXIO3XTcQWDPTtQ17VmGyNOA2UT31VzDMpgm3NrDoL79Xyvuv9OK
Y9gluAt/Pmc7vaW04j6Hb9+qX4Ztf/9zfwzb7L+hBaAL7aIpoeBaJnd/DNtMGCzQxHQmsP/o1P1j
2GYwbKMdB+QaZSLxplzG/x+2iR/kauTeoI3xXv8nw7YvyIHlMWYVcF22IiBjzPC+PFUOLZOotgoY
EEN+8HMCHAfEhDKvX1tMFSsU4cByKRuSutuFnlw8+Poju79+Kpv+2RqSl66qoQDOCyGl7/ZoEM4J
ys3AFMYCNtbitaoaEtec7LkF0bXS/fSZEDRa7dOBYFcksx1VzFBpgTkk1z/djb9cGX58OVpMTBLp
NbLW2V++XKJnUTtP5MWPebImERMQ8/eirs66cIP/7JNs7qQjPJg1/GWj4f/15ZRabbg9VIB1YyBk
JtgOqBIxIuXaqORfrAPWvyh+7EWixyGWwRn/83VwjzhzyDWUbetC9B9uSIC4mxdP7UQFU/sGSeWl
DDLREwmkRLV2+64JENT0K+AJEaDSod1jZdrZMcEdeHSLIr/UHHNeO079LLXhWAr3zYzWNuOFtSPK
93rMp6CyUPaPhTpNtqTTAgVnG1o68lECNSwcyUHbE3Zl6/GwjsLpTfTzi1Lxq8VZd5WlpNz8/uc2
ljv3y2KIC8J30GMJ4TArNpcu809rfui4UT9Zmr8uPW8X4ekycirEKmpJU8HGWT5XuUCB2IPp4Oi4
8FZpqH2SEf33pfFPZT0/PujXC6EWtEwLzL1teqSv/HohE00fmUusNlnLwNFQCnWt5j57slmyTbIP
ErqONud6KC/HuiM2yZlu+pBODDLojCaxeWN19d3inQXkvUO++zYn8jWfSHnJnNvf/2oLhvGXX42t
CtGlh5F7YfKzuPx6sUXi4fUEMr3R9Rk3FUcGVx/u6QffKU1cIvO/bzq6BL7Yz0QzxEp/hFRer6g/
VxH7WT2DtSBx2MVVFcwQ6CIBW6Yiv+P31/kvd3fZUgnxwuzHqwSk6otUigGpK+LY1dZ9nN0RW0VC
dp4PK4bM18Mymw8bOrzJAB5eAP4lnOm1V/PdlNebjknp7y/m617/5Vq8L9WFLihfMpcUlZC457Hi
PENwCIEqgOBNVE1/9XE/1qSfH6jl85jfMMDhTiF5+/JAudbCOwass7ZaJtFAeDBntfW6y0GaT/ad
ITOTgMG8XPelFgUqd+OziKYL9A6v7oQJMSEbZiNplSFnLZ7DjiwTJip50tzPMc4YxFhZQHzSCEIi
vuEY09G8oeljzSfExvY+EdgeKgNRUt2bZHWVxoZUqSNiEjTGhZNvbFudMqXJbcgJZlX5TbNvCTba
lA5eCyfnOG3W0tq01nz+/Y34qjb88cOYGJnYqwwXjNavDy/RSRkwOm4ELhlwmHKbVFdj4hHifPn7
D/o3rwkFpcWmiHWK/XdRuvy8uDgzADHG0tHGSlwA2+m3wqG8tT2iFecl6dhvoqdkHJDAzRdtN91a
k/kSevmi3A5f6xDwudN8SndeFXq6rzP8QS0jqTLb/f467X99NH+9TiqLn68TiB8U4YrAt3AWp8kY
tk3qAppP8ueQDRoIYw+gueppeGgRkMixuKzHasJRrp4lyelwQmbtivEGkZ4jjSmUzP0lp5d8nTDu
2OM1DHdSCfsw45t4hBdeBsjDrvqSub9ddeRjttD1NbMCg+bzwULvcenME4h7ZZtEiU/EIao45/zU
dojmy6exTd7CqAK9Vg3T6+R0jyaKbg5BUf89x2OC60LW27BT8kjyxLxNo+zx97/Zvz5EVDtodimt
cMWxg/z6k6WtT7lhFf5aOiEEqZRFsA9iy92Flbn9/UcZ/+6zqDlcmmygZx0DLdXPt2dMdNU1Vumv
e3O2Dl03P4HBso5VDZcc4I+9yhQ0/2K6bOR36eJgLS0csCbI1NXQlvV6ngzBTXHqs+FPf3Fxy2f/
usogMHV4aznJ8DZ9LfuypCclE+LVOsmzwwQm29GOs3r4i1/ga6XiwgnkgIRul89AHPblF6jNVHbE
HEt8PhEW08VZAgV1HTrA7OJo0fd0t5A6q7dMOQ/JMN04jQXXr0RsYBfkL815hd8kLhgPjGccRNEp
05jY1KTq/kVB8e+uVHg2myKPhYmU7dd71WKpyEYHbKwnSlaVGBMgw0hs8BFdP30JFHa3OnotD2rL
73+kr8c6FyadifEPOSW7svN1sYEG086lLJlvVO4jE2yWGObNPue6wrwlTyCIc/UXH2n8u8/kxIxu
y2eHRX7167f1acvZbuoAbFPhDmkNiL+4Gg8V0r+1GVPa52jmiXNUkf2WxOLNnE3CzrR3IoRkEGll
eeWNxfcEG51RugjA7n//k/w4sf/ydNIapr6jwHVhSlK5/3p9o6YMiAKtxhCnW8ekIYROCGeZ14VI
CIHheYazyEM0jCbshOjQzeK1Ketx24rwpVZztQJYcIso7DvJ2Nt81BlwomXR0vgMCXFHOj1bVQn6
oCo/BPvtxu3ktsewc1HyrxmSDAfY7aRUgdEBv6u2qdN8m3L9vpvsF6MhNWUqtn2dbm1O4JveIqP5
97+A+1UlAV8T9PNy2KfLAAPzSxVQxAArPCNy1yR73Ju5c4OnZU8vXQMHx3SOwIN60zjRZTXKjAxE
/knpIKOYsmbTyua2rYdbxFJsBhpEM/qYxHDVbPAuAUBQ813oNuvcx+RnWPVJNi25cxOLtyJith6E
sbDXINTbwxr/zRvYo2IlpHfXWwTvmPGlIa11mkH6IfmnT0jwGHQEbEiPPqPFu0rb9qru4nXPhRp6
Ti7PeBqT5JRm6MnBfLz1bbvWLEuukmLYta24JBVmR0t/3ox+6q7IVpi3dsGka7SYomq6wSTKgIiQ
j0Q6pgTK2U1gjULD/mTAM6g+BsJLy+zZnUk1ar/9xa3gWfv1WSQbmUO6y9FucWd/WRk6UYQFc0nq
MTNQ895x98vkHGRR+Ufp9z+dM/a/yR9P/4Si5c8bKJdvn9H09l/n+u3zWxP90kP5+x/9pwOHFgnH
XvJZdGSpHq/DPwXLumEt5bK3eGqWs/A/JE3ibz+kzSwjC3KV/uY/Wyim8Td2JJO9D6fvj9bLf9JC
ITXsayEGr1AInM+sWhSmTE1/Xa9iwsbHOZ2b7cLHtNd6LaMdfMvoGg0e3RKnNZ48JT24IpiET7E1
DcYBniPBsUMMNMg24+taAffhhDPZn2yR/v1ctD5gkJIB/gmuYxc9ApwP4S5rpffIAdJkdG2a61Gz
9FWjIz4hlOPBdbDZtVHXX1eF/jijhmW9KIb72KnyezkXxSdqEuu61vNkb6LxPIh5ji5qmXfnPB0B
OluuA/iwydoc9HukzUzmJgIogeEh1GyL+UgLadCDuvPoLndhT8ZMDAQe0bG6LUaRz7e938D4EtGc
31VY8pgxIGO6y42S0BdiyQ2kiqA0ENraZtRfmDLr1crqw+qT0XhH1pIqiEiyckSPJwI1fZ+gVNMl
xx46WX0zTWn1add2Ge+kP6b9o2ZI/7NkZPc+G1Dq9mbtK5iWLuJXmQya2Ma+X2eQ0WGcXDueWwyH
WXP6721IHOfViHb3NTM7474Ui3qA0v3GtCe4iklyEaFMx+WpRZW+IxFNvOMCtvsLS1Toj1RYK7nK
IoHiKRorumd9XRLqLO04QA2bRqyn+r3dlPEL2TPys1Na/TEylbvivDa5EOtVCz93kHbg5NVwpHhq
dwWbibdKSUPa8avYRtA6hLxkjeoZ5ccVa08PMkAarTxZmZanrzMPxy3jYrQvrV7oB61GPIunByrN
LH1mDeEUQTmxZBxUHfMriI2kNlnobB07NZfs4sE9aMzlT3aRfnQ5TwstnhQvSF7ixYxlcgceU67A
/KbEovO9Oy8UQaLNBoMVeyzf9HIMkcF31neZ5d4TFFkecoPcWes1qlyBpT/rA8S67xYbOpDzXtsn
oyPXOFHjnZ7MbbRucz8+ija/XZyUoMPr6IQV1rlZGhgvdZ3Fl3KIG7Eh4Tvaqdb1PuqcwDLYT1r2
jJy7w4JkOsAiRSxHSeFoEhDSIWNLf5CU0dxFWVIdmsLSdq43K5KYMAyfmGSSAVwUt/DA9E1cGjbd
F5IcVmib7zPb7l9q2wUoU/U87/REnSjo+yb1tst4xNrrYT6/kWnXRU+dXkbEWo4R5JkiEgmgXWTg
w4UOrAL6ZjfDdC5zPS4uDNNDGAgHLHpuhpgRJelfbbktiQ4YT8QT0M6K0gXzgxbQiraQNUxFuTUY
16T4Gi7hubV4sQgaw3PlSVcLdwDY7SeSUZR25dhNVG/JQIu6LSABAzVV35BGTvfWcsiiHyfA9CM3
moFf4aS866YsxitbubK7DHsiFFA1JTqpfj7/1W3kDSmmd5d+4VPL08WMyc3Ye0OpAS6OBxjYQTH5
M08ZHvk90TntvZ5kzgVZHFLdpU05eZtYa/3k28D079RDtOPFpqlIitNsZI81F2oGdpmk37Kh9Zn9
hmFdraqU6BxOZy4BSIY+E6TeeGgVIS4aOLjJiPhe+wkUf2ENcgO9I20ueDKhalTwPFZYw+ybuo+L
q6JwnE+hjYW5p1vrx4fOdup3y89q0puiVC2hO1gYGBXGLBKj+VAAUHlQNg58BJyGvQVzIPeOXikq
Xg9UkovGh0k4eZImBxig12hvCNlbsUC6TdARl1cGfEX0NHGFuznF+UTrc0zpyjILHl564AmXfeoU
TyVJT3gMnGG66gYzPTBm8xlMUthtWIeYII+NP+wFSpjL3lf+GUgD3hcvifxtoonxxhkh8doRxwOA
DOg5htbBU50WsrwIlelzLs9G48JQU3xsWzQdjlare5Cj1lPO3HVr1ITdzIUvLjrGjS2qEsfLNwhw
YSlKzuCWZo7JRsbakqeMd3qnT51/qrAqBoDDSDaH8QdlhMHotdaW3ZuOrfs15jzLUNFILwRQqK1e
9+Etu2Xs7ZThNvelkYzvuCvtT9M3hvuhzodt7xR3PssSDELl+s0m6ss7ZFxjsmrmCDUNtG59hyFJ
7hESIkdpeqzh4KRi9IdtbwUOivlo62U9eYRNJl4kgDK17pqiOaZi8r77CENXuPxsCIG+vk/aNn91
3ZzMw5I56rDXzc7aoNv01kggy32e9+WGNIvhyoGMXS74GSPZTgZfuNWl8a0ivvPUES8bBWYBjvI0
5dZcrZt6Lh9UNmQuaXY5e1fRo7Gq7K4/ki1KuFOJe9fB7N7Gr46m2Td9Ny0qydS/LmoYMIypvQ+2
5hq9kmxekh695GoAoHDA4C+PuQEpc6XAKtw61ljf5jGI91Vr9/4119K+wmnUH1OjQXTTQcm+NV28
AjFQF1KlhLtFt/lNeGb2gHIs2QxhHrdX3L3iRUerS8e5hTCL0G9XmjYgvrL67EFFnCNgvldULiOU
giJ/ngwMV8rX4uiiKG1sVUZXb1K/7Hnf3NFaG3osbvRqcXsgpppujE6bqzvQs9rBtMv6lRk2D5gk
cprEv1Ll3hp6WM+gVjTtu8D9+tp4VX8zwp60LkDPpM/lIKW8nuw242VM7OK9HJr2I7QyZHvNWOJs
akh3IwZHJ+icg1vvksI6MTm3nMw9VF6rRQRb0R8FMwiCAkmUZDHTNdcly6KMwWgS0AWPNmydGzsB
0uYMiImW7GADXEhTtNBwidsL+NM5FD/JwbMi2nE3zUP73Sl9zpJpz98j1ui+O0PbX0BhrU6DqN2D
g//jJi3Lfl417kRMopP1yUMGJHIXqbw5xlGo73QRwtms4VCu8J5kTwk95ijwRcNmM/HjNIGb9lxh
H/EvF6ygv6+TvEkQJVjzm0I+YG/UaE1v8aSFH20zuja+px4wqvRsFUFUmaL0bAA6P3LjsSaZ/PGC
bjHs8hWWruJa0WW+pTCNUFkQIgD1FM8n87ps5mGFnLgz/aR89VMk0IFjFcMW51BsoPwDcd+Cm3kp
yhYhLF6v4i2dHNKiQ46KVtc1pMjUHWIZWwuPslSGQzvZSS9cLmkDXGGeFgNz+dR6Un2AOyHu2yqh
Q8WRw+l2EQ6RGzqNp7qpivsSDRDI/rp0rkqPwFrmhHGDQHemw2zasjyz6k/runb9eU+xU1YrmjTy
gTC8Zd0ZWCYbk7xb6IjoKeuQomk9wT3KOT5O6tWLE7YaEnHnaxQXZNtUYBDf2rZ0Nm6UNKS8qzS9
tsigtlfugEgjiCYGgahEAR21tYEppkF+9SDn1r8HEpR6ASeB+SqeIn1flCMKG3pe9rOOXCK6S8mt
PSs7srINC4z32VJbtkD59SncNuzM5wIpzyHKylBfxXnr7dEXasjwkS1NK8lvttdj8gactgWf7xi1
ewNohmRxrxjMO4at1boSsnuM5jYmyNv0zuRZULdFjmpuiGxy+q3uw4qkJNF0YibbXkzYjqS464Uf
Xyf9LCjyEMJdO5ZKP7CvWbeqYqHeC6vE+gyMhdyZ3tE+WfGSLfuz2BITmHxzJ5SIlELOA9a00tiC
ixe3ejcIOJeJGwd+ZBFTo0yaJHSE/UMkSvclhRByzvVae0evn9zpU1THR7Np82PRT+537CtxdQJc
XobwmJ38Ez5M+zgP47TP5qw/upWTghlyI50Wh4s9YitI9p3WccEqhIkjF/tJJdqDkFPWbzKiF3Z6
67THHPBh4E6xrgfKqayNMXV1FxRmlh30NB+iwM6Q2M8evlME+vTK3clVLqLCeNymRlmh8U3ddK3J
uN4MhYyPBCHqF0bePY96C6ZWljFhhxNNq8JUr2GJ/IWtCex3hDsrhlPP3iXtmxjjGhJ9E5RKPKHZ
01m8Vij5H80UbAJxUvCA2hJ3XeN/L1173wirvhhlKDfKa7OtzVRu50EXJ5hxCr+FWtVco/5i/Zug
62Km4XQITn9X5tDNB0oEnHtjL/AvlOV5LJzoQiVVszUmrdgbDWxSJd3uY0jb6sbVJuYXYU9pRBpX
eW+z922FNzT7IfMlDvmiCUo/uo0Lluam40KnmbTOAXX7yu3LEC482PvKR/Q1yq45dSayU4fkhvUQ
Dx+cHlpahqjtVuzEKdGzQ/uZ4uonT23ICKtMSBlOlEmAZqFEexh4QAJNm+pjrXCk2GWaHHy4+2+z
pz7nSqO2AhK+bKecxqqogJw/1fVh0swZ8oqkpxdFnGpjZkeXfuwUGzB0VqCIzFwBVDS3MQG0N22u
T16gxhFCmUrbE3nZ+E+1SiVrz6n1a2d2mKdriThZZXjPY38j0Hv2Y/cINMc+00jFkEtMIWylFHCi
MfhoIJs+8FPJYE3NSXQZEQ+bBsnUZY+lNUZPuhQ+boQcQ69fqAcyM8e3uErHs5hNkxBHIn4vp1m4
e2EO9kUZMsrd6WMDl1FPxvlFmPp1WjX1dYq1cxc27b6jj0cF2AH90jOrgxK1uD9Sx3mGjdO/V3Nz
mUeZOjZZkq+VsQiv4bvJd9MPdfhBCL69biy3RDxgT2pJJ+tLv1l8qN1dHvHZlqecNZPHbqsyCaAa
mCQAqTk3r1ALDPetS22OWbe1Vh0dejTLxPe2hokPICcwBDRV846HR24z3x2Pjh8Od6F0Ms45rb4F
oc3uBr9wa2mGePKQQaYE+krZr/u6n/UN1ciZHqKrNnmPHHZVdka+UZpyIP6mXQG0nuBHtnBDRQFs
fBDurWZVr21O8bSOtK7/zvi2dUGUj/CeDLMoOJm0dLRbdpPP2tQG3EGknu6TOS5eR1nTnugsEwE3
iKNKnvOk0h/DuC8pv9P8XCaW+WpGmrgGSmF8NhiADKTdWY6hhftw0XG62QqyFZjAzWP8mKpxcIDp
VmZ8V1VNUexHqbxNRcB8tfEyNT/3UeVA11b9xYgumPPCaBVngw6r2C8NkjfpaMamT2ecHHY/IgG3
7JY9rC1a7c5oFoXm0NsB+0t1h8OlfTMB+qPlNPK96cSvdVJGR6tp2mKTLXw0faDPwrkuM9Z46517
5U4tpmqcBZdynDB4WEWNFNdszNndtdjrta0FQw0AP9Ji7zFRsanvKnZNa9WE2VIy4jwaqi0Ou4Qf
AqHgjK9UxySR9L7+vdLH7sqDIvykj7mLdZw4bSLdWzd5jou4PtDBKXCfYvYhco/e9kFzEyu/H8J2
vsOb25PKAAGkOZbRiIRwjiZ4U4M2BBNdiV1ruS+Q/HJ/w5zSgCJGS50VKdYJuzCc+ZJDZ/3qF+xY
EOHxMqcS8jFHM+0erJl30sSMet1PkDd0Zf/KKxfXVyz5wj6qLk+ujdCyP7Kk857ozMC+ZD+ikq6c
XYGk98rxK6Koaok9JMatfSKPiRRVP8o+E63Swr0iaQClbVSnGEtmizi01M9rh4qPhgEYPJOcC1EN
5G3UcTVcMnFolmNhJ+lHZAqYDuLg1l6zruM6xISzBAM3JfRH8JkY1mN75HVv0DMDzkbRbu0bTmLJ
NncnL9v1bq+vsRW0bmDXVfdshWoplZmSsOc0WXaf0g50gpCO5XXB8YV/mqMBDaKcB3PFPp2Kg3Jy
+w2DB0hm8qQxBwwTMC6NLWpiXlitbDJVDoNfLU5lo3oSueE9zyBpR/B2kXYuPWJVgwanakMAXjMh
W2gpYeOsqy+oxLMtUZZQG8Kpw2CXk1CEgAebESDEyJOvtpqqXSE6cZWFBQRjs4DhtcWs6BKq5Dkf
gv6HxqQaTYOwMwIcY2qe56QBhLYzRIc9XwnrnDNk2Wc5VnueYCu7BTWj8LlYqg6imrNHwLiVDGqj
FsXJSOCnAT7IeUlydMXVps9LkmFCM4d6xkw2zCvEMXXYbVDsJru0d4GChVk4vkCPcGe+idc8dpOL
YVR0o8+3dlHEk+bbMpFy/YkGWp9SJXdZZNx7rhf1G7v1BHVCKq2jaODsYJ3okzdcaDN9i3jUjO0k
DR2XSm+39cHHX0XKc8ehi8dToH2Q4+I3s/VRPjMyanZ5YYoDDRE33sJqLHZ0a7PPQuXmJeZXoA9Z
inNqlTduLa7jTraPyofOrwadsPQOsTZfk0mTCFKNyDUesc6AZc6jArswxIIBQR3+S9dL/z6Pa07z
o8nyMwkjeQ+nAUhEB/HGPLFO4NiRuoHeHIhQblx4I8r0nfT83sKL1HczY73R/ajx/j9kwiRoOI3x
f6xSk5beKm5dMnojQe+Rs4BGTiOR4zBTQY3LtxFe+ZFxFr1SgA/eFdopoHku6ycLNhZRVFWs/zMB
oDAG1k4B+S7ICoOGDZkeC0wp7qsrxt7jQJM2HV9EmKApwdz4wptUm6daB+smK9l0p0o3QSsNGop+
BlaN/AyNOIm2o9kxHCaYjghQtiXWlbEYs/whsXrEEpjJMJB2rRLBwDaJ51SQrW0LhPua2cBa7it9
OiGnRy/GKVKTAWwKJTdzVmbJxoSgeWNi+ql2HpVRzZHJb9YKJWO36QmFuxxGCLxB3SbzRunJkmiO
DZ8FVV8y0FlVrZ4R37gFL6l3p2lwUPIsmRJzkE0VfbS41mkmQaJiHZgj37tqZjJCIIikOUcwwTAv
TBKAK2icsc+VnoSYog+SZtFUcsFSG5vwsgGDGG6z3PiOOcK7rRnh0nlMhFjZWtmOa50AgZTXOCNv
Tcuqutg0LJtyJVql3UiOGt6jGYN+lGQkcYBJWuykg9FrW471dvzdhtrwCugTtGUSm/FtNno4zShc
1Toa3Pg2zbxpzwQ16rcRvNrHKu6qI5Lzhe0VUUkXXpWcM5U9V5oVbsrYddOLhE0Ekzbje6la4I/d
GBZvDHS0zzKupvsE0K22huvLrN9l2Z2OGVthvRq9LL/iDDl6e4Ao9LLT3v+gmKvf9cTLH2Z9rOOg
rIYGt6cWHSCp+h5BeMs3Ar1prSwhCBqPMvuboYGComthbUcaCkdaOjZERKc7N/pkdmstLy0Yiu4w
71HjyttWDdUt2Q68AQnMznVkSvOuVg1rdjuTgpBifB2Pkeqq7Ux/RW7nwe2jINcaOlFG1TBCDW2y
RPcej2/Ca9Rb9C2h7idXNBuwO82z0c+nalEf75sRSt2BbqZnQ5gxjYt2iu4ihT2JTuL0pocxPmOb
/DsdpaWn5mz4YCCjOAko85mabHTY25JI3BHyQtOiTD3IjbWQ9zV46ntqUbn4KzFnBDqjKI2yTakn
UATld9+kcmbyQh8Al6aefzObxEsD6DkZ8taRZj/mWqw/5ojgLmehp6KsRb77MXT8n568/in48H8r
SMrEwIC47c/ns+euSN7ef57L/vFH/tC2i78hIMdxTICnZwhwDv+cy1pL6jYPOxpOdxGpo037YzAL
l9wxkJz7CF/QTC8j2z+k7aYPThEfB38Q1QNCP/M/mcvSE/gyukdOI9BeLRGnDn8tIvqfBVhL109w
EC92Xdc3+9pIu7ciFkQ04n47M0JrjoPSp3XGo03bwYuQLxbygjze5AjeyQg6HNSPXjE5n35NTpWy
XW3LiJrT9JCMRy0tInSIGnoUxwkPdk4HUY7zm+hszgjx2urMaSXG/KhpmQ3hCOiUW1L61n6MaR6T
EP7HR7O0P3lPA6snRidtKrUzCY7ijdCZtagKiCNVTYwP2jUeMieGEq0QxR2wSReXVTrN1zhO8o8u
hd63aIzepxgzF583XMOF1LamrTFVrjiwPgJNJjeD5KzAhv+zrv0wfXXyDsbQzKeGnAbZfXHQffa6
1ZO8UconGwz0hVaU1hqNSr9WRX4Dvbuk3xe1h8SYcsxO3njdaWiwS8YpHAgabOQMCMbuHLGA77VU
FMdSDt3tlDcOLKKCuDHy2MyHiYacrMfxLk4sedVENmANlOs7LXfPmPP7h9bX5TeVxfVzLAb7Jged
QTaU559jT1nBWMO6zkUY36HTMgHUTo+J26tz5MQGDDrlXHT81sc2D+MToXLF4wA0BDu9vmQLSdAO
Mg1qmE1vEHbiqyjyMA2rGHH/qmQdvQMbmF+5VfQttGmHzDHZg00n1LOg34ItfKo+xAzdO5m8ee36
41NkVvs0chD5mekmrgzjpgeRvom9JD2T6eg/22KsTsZU2UcrrzkjdnP2CR2AKJG0Zk5EFe9cTYwo
r4q5wlKnI4v+qJxOcdAihKUZcValUT0cCPEKrwa6yXuQgBwBDY9JT6GZl2pyv4X10TCfSfnTNzg9
/DuM3eUhc5pmPaNhgbqedNVmlhNhKLlWFWS3GiRjsMOnV340Y/3Q5unBnDODEwE1rLRL9QTvaLrK
Jj8kT6zXT5NJIrjENhwwtBzWncENYoRhki80UKOxz1TNXo9CCtSiJ1VaE98RjnrkiNHxUqbyt9QA
IwB9c7xo0eFc4Zt5YGqu1j5nlS2ib28LDNG99/GpgojJszcRacgkm5guokNICS1obL9JLUgImCf2
sUKD1j11ZaBNusL5Xuobe45x65JEc5mLctqbqnN3GbNNWhbudTHWu9wqqMi9uboMvdBeO4mHEFSs
llbmbpb9qkJzVydhgCiK+tcs351o2mFcjY84UT3O+Xp6g7c9xiDOcSPFzGsbqb0VnCN2Jul56AR1
7yWNx6mnDC76GyNWw60oqhdb5O/FLDfO3JwgmX0kfSHOMxq0faUtqaRGHrL4LP+PBCJawWAMMNfm
26Gxbz0jxgOe1e0aWul0J32Yb9bAyQd8AIVoTJfUKa/qeB43WIeLwOiEdluSlESG3EBJCi9uV6dC
hwiQtEE5FcYRpEp7KBvL3nRt5X5rUYRuRSmsy7qzeJngsW5CRqR35Ejzq442A9vJH4Om79n8SSeF
Q58VG8+YFofQXI1PkkS4C8tN8EOkoDJRhpaH0dXipXBqdn2ZTBegoKlqjKbBqzbLeRd24Xz25Oxs
8cGSKW5JjvDhNK5hpMMqS5m8O4wrSZeI2l3qq2yjheSUV1MH/rRzOJejI3yvkJhC2kvL6YTJ2Ahy
emr0dMvwiUp7DqhJaN76A9GTaiwOnHi9fUQk1jsFcnscIlMPPD/Vb3nJkXwCDwqJR1ciRjc3WA/i
71E/S+pP+iMA6P+xdybNcSPZlv4rZW+PMsAxL97iRSBGBoMMDhKlDYyURMyDA47x1/cHqvqVxFRL
nW3WizbrVWWlpRQRGNyv33vOd4igp3JmFA4mPSEjMu0xrY8cn76OfvFoDlJu6inZadC6OHK1e2gL
bsCGYT/1pXbp2uE8JfxyEsRihtVI7ZeUIqTQ6RNinBmUg5fSLgSyXVUo3MMm91HaCNvGII2Su13S
j1yF8bddEpFUaeu3rZtvMh1oQxyRrEBO44ogtVOX2uSomVhaM9O6SmdS5UBD3ZdzTxvuLWzJLi11
TzMrwQs/fM3w0+6HKjKCMOyv4zK5pOAZgyzVxu3s9c06aXVrqxCO74iDqHemzQpuL2lPI2dqjsVg
UzlQX+LefUydWvkrmO4OndF6eqpTlg1CaovU3vdOyOxkiZbSiVIgWKuh09Qu9CDCpxJQsHe6Q5uf
v32de/0+7KNPKmPVz5MH03TPoojQBdLKgbpYbDAx6yt7ibiKl7CrZom9GsEUHuBkS0g3pvXRXuKx
WjNF0Ci97MAusS9VWN9H5FLsJtmF9trol3CtYsnZGpfELblkb7kkIV5VpPN9g8BD3YpkgG1wAlm0
pHW1kJ8DdwZ93zrMxjiGbRy9e+pI+gLcv4SlzmejiODhxoJtFlw/MXqKY6dMKkIvUhZVGHlHwGsc
u832xFBqXcBUXeLUONSnJsIjgMboEldKpmaNgJUBljGrA2MZJkdefRJgB6APpd/oA/r21imBSCAZ
Es29GQ3yVHvfmNAOr4k7hWc50qkeQltc2W9JaP1bKhp0TfU8sw19S2fdC+olQ814i1ObnFGyvXFc
e+BAz5HjLYONMzOhGUOeyMvU6yqYanhb2kRwm62W7hYDOf0DS0+K748U3laWZBiKadjpSwDc7DFv
7+gUrieD84IGfZIggmkuoDROYRyYcftQx+iQWundeJrd1SvaPh+mhPZKXVGiRHr9La/H8aEu3Bzq
vetsOytn9zbNwr9AFvswuv1tVUJcJDb5jFF663QcR5TZPRmqeWxmfBpmmZkXAN3VFo/MtGXbI47q
LSoPaon7lC75eRVlRWRnX9LY2jEA288tcorE3Q9q6MCNWCBzZ6sgvCZD6LEhT4DLnm6q1EYHphM2
yslu0vS7TI+/sKF9gPr0tbWt3dIMPtPcltvIsPy1Q295ZSOIYd+lCgvjjQ2gP0idebrGNqmvQ3hH
gTlZ8owhZZvDxIiDYXTbwI+t7hwtOTxuLYnk0SAdBCntrgeWX+80zS3HdbVA4ynh0R4ZVJ1WfNar
LLniEK8FSQ9oXpL1fqGKm+6rNEd12w/2reGhfC/SryTnsd+MVnfVcaPXMu+uHaaiRy2utFVr22QW
tIJsEhRTx1AkKjBMktxMrdfXjOif08mpmcIRmYU1fQnUkA7KPCA7snXGoJpj+9QOoXFL+S2PoJTE
vmbuT5ZkelVoo/zU0SBalI5eQExhTLrapBFKwmD+rsHofeOHhoFQr3r2cuJVbb8hnIPdZzW6zgEG
FY1HqZ4kbDTZV3aQCLojUyF3jmKGFOqG9tFOCu+pLAZtkyB1fCytJiichSZnT5CwyDvRvtFqgTKU
GM5lgK+1HgEUwLaANnJkUpTjdYVHhcFhbw7K4aIW0Ql5VH3remxSUZVj4Sq7j5gS5YmWZfOJoE5Q
WbZcUCqO1Fh4FjHJkDGKIxmZZycJmTAX4XqIfGIo3cxfz7Zl7+q+Cx/LKZYXPRJeIGMZ3plNTYRr
EtUHarDhrhJ5+bGJGrr3xUDLCQndndAKfUUKcP61Kgx3R7xn+epDFdiNQ22tPUkFDYLIOpH8hIxr
1srimW4L8rt+TulSA8O6qvQpuY8iqjy6WDL5gNLUYqmt4dJ1YXQ2cl3fRWahnw2azrBEI1J347Y9
hEu+M3jZ6HNpzagGcDIHNO2Lr5bs/DOzEPvDZBjaqlODs3IwkX7yWxJFM9gv9xWq/uPgeQgDUiPp
ufTwKOCgJBvemHTdtsvmWsaXNrW2c2PHFGwtbdcYxrfWjsPZRU66dgZZnq2WuUGh2+5mDsNvA9Hw
bykVzrbMJ0q30Qy3ANW9T8bYwGYqC/NumJ12MypDXkVt6lB/OjBTlW1/5sgqN3MR+d9qFYrA5wB4
iCevunGiJDkT7ZPsUSVRkFulPFakebFrWP4WOSUQCZHcZtpAbnpEZe4lvgH3y4DigMTiLObmptBj
QUahjYHMVYR+zBkc+lr4B+Ua5skemuyVHyo3oV+7V+gBLMaeisn4kE+vdjh/UUU2rTxUxxDkvCgw
mpGAD99YPK9EXRR5GV6FcXTus4zK0fCvBXzWAE5jT4a5nXxMFo7sMOefKq8nJyZK3eu6QyZiz+m2
BDa1rkQ7XC2HfEZ55TcaUzsUY+SWKH/ahE1MWi7D9g9xLDST5hnD25h3Lsh7B1GmjMug6xrjZFGC
raUQ5WNEAR9ylus/RLrtYBHT79MpCrdWuPWGcGdkMjuGRX9JBydwo4HFZaIk1/UtKWET4dSz3KqI
yTMA1ZvUal94PEdmZkV6ZoiDj3lqaJgqxvYDxvpdM0Pzpz1akopk8qDmIeFDTerc0IX/NMf6OWL9
3OQIz5faINkCpdQ2fa2JDee8cO/RKQ4yK2kufZ0ndDZbue9bf95o9pLNY7fp0ehpc8u+8G66ebJ2
Lb1kHIDRde+aYF6pRiNSODtjWDHQQ0uQpei2jSoke3r2xUdCnNbjwkST+QK6rfKIfqIG7SOz93F1
yjwPaVfUDyeg8Mh7PW3s71s7LT8VoeDlMYmZ+tKE5aytwthFsaXHctTXep9eisbQ7kbLLhQxnlbP
lHqJ+KbMtHtEYFl5TlVqfGYHbM61lnPMjRu+eJpJb4XUBy0tYpanzpzDDwKpy0b2nFtWKmHIsSrK
cTqgXzN2SGvUjt6uAzRyzI6TcrqDPVX2nTla1q7rRfPFaVLAPTTfk08ViCxAQgXaqLrmZexZPLk0
/lWI4+eArM3b+2IA1uRYGTm7rcI711hPnKWHDz3RmPe0Ra1z5gqC3o2ymleO3tyY3NOLKARfhs7o
h0gM3+o8FRtOQsQ0671xQxIZAtAxBENmmj19A3vhsgG0uWG3NTaFxfSD6qNYTZN2QviGxhHV9pbc
ZoTchtQWQiXDE4G6ljKdgeFZr3333s1HDUypGCi4q+IaMvQGoCGK48hmxeqjZO9MfYbOi+G8r6oH
eL/PDZO+eUq0VTokX7PMSg+ubEjWaqBzTaMkNXP82HL48XiHXdOYrlHUfSaATjsyeYgv/1f6nv8P
OU5Mmoe/dZzcJxmTpB87mv/6I/9ymnj/9IW3NAy/Jy26dCe/O008758LrEPo9C4xZv9gNPEAfPAv
fBO7sL0kxPy7oeliNCHBE/qERY8UlMffaWguWP4frEhY4i2Tb4U7kaYq3mT7nSksNGNY7oTD7q0+
JteoGXA5VMm1RYrg0R0HZutY3wJrCQUkpHt8TIYsOhISiwpFR2lv+OTAFaL3qGlbTnic+O/QZ4yH
SqvVdeGO8R9cbD/bDP/6fd/7qLXJUYk3GXvQ88N+shamoaADh6WKqlHH6yp9hDmFHn7v5/8vqQzY
sv5wqd5Zo+l4FjUV0rRPohYOPMZjApalt0X/X23STqsCaIHUH0azzBztm3EZOzrSLwLf9YlY4VCz
n+bSxk4xFCvmHDRv8fPQaibPpObqOeZ4k5thdB3iAF8nbgXeryn1fUskX01sI8aFxwwGPpuN1Mj+
qDnHPmWJNpF6LAd5W8UFa5gqOlx1egQs1mWEko/JJq9FcSx8vbq2Oz+5bkix/BR3A9W1VlenxMjF
ZirYAptabfTyy9TH+oH8jh1AVSJd/Zj23GDoj9ZQjQcXgdUuN3MwfmOUbFNUXmnjt7j9KtE9AXfX
wXFp6ZbkDxdoqUw2TWxXqIHTR9sJb7ppuKAUa2AKBUOuPVlt6V8pJETHKfU/trPQdmggrhpEkcEU
O+KUztF1UeC/qGnlBN6UwlTrkp05MAfsPfdZFezPHDFKXM7pkToN+lg/3cDcsrct2qtNB1hhrcWm
Otb9iNmgo9YKSXOrABtux0aH9lbhzhiPRJrTkWzqgGHqSjBDrVJ5hE9lryJTl1sCgsagjop2m8yi
39FEsTZiANbGvsVwf9KrDT8sXhIc1MFuHP3zEDXRxokGxRTAUBPNoeQydL555K1B+9hdhZOP7skT
dCXj8WHsNRTLxahAy1g6HfaOfIihpvWpIbUfIZc2kU+rn3sSV1V843coVnvTzE+c20gAgmLdek4I
2djRdwpN8MHCj7X2BOGQkp7dGl+VvfY7Yvn60ZwfOBCRgAZrsOr7dR8Xh9lsiGJEHoyUiad5tJHp
ANGpsOgA4DKzbroaolinLajQKffFC26WB5UporOFvZPs8X7sPYC3ClqnA9mfcy3tAaU65GYUnwqZ
jDTddenCSM6Fh+a1qymoQob/vr23uZurwiJbwf5Qli29dHPykJqSJWjmXUrOParrME8J+5Ec+Fwv
3aGRvzNKXb/ScA6tnGEcgjEH31rVCjJZVWf3qK+1YHJdzifW/dIlDDJvRPqAmnaVdenZ8UaIFDFH
CWwHaq0QqAdI/XbaQPCfoGqzHMLxBP1Z2j00arMDWvO7xOMcLKfxQY3JlV0na6Xicy+NmiM6qkTY
s2P7Yc7ljSvRPrl6d0eSsvcoZJZscRVuSr17zshYWBMjcY1iP5iK8qHVEEiN/lbGxRfC2TaKEUGQ
u0ZPhdvGaxqqZ39yMAHOWExSieDTx51l3IxudEzDUtCXlpog735yt1HolNWqMqv2xcC2w3Uv9fsR
uUwrcnGntQgwwwTWSen345eecCQY3YxAV4xE/ec4xzOl87MORMOhbczRwcOJZvIcyhoZ2qTQLsYd
ZAVgyvumxoUkMoErEFBK0BSZffFCQesCddl1qstun8MxPpqsixS9+iP8a7FMeYerCdnYQ+OT8zAr
OmFmpOmAyAxam7lLW3ooXf2EG0A/+LJr7iTGpNuhM+t9UmHLISmb/xAdGjMvjrwKmuyJbMybepqO
jTCnje1kD1OZqiOSfPaHzEJGMwODr11cXChgVo0gkUsToKaE9DqEg/SKFLIfhO1kGqQZSVeQSJJD
tJTAqdboOzS6ycbV6cv4VWs/FVRQbjiz3gERLGYv3ZeDlwYChc6eHAnS7o3q1Y3KPUYNtbMd3L4a
B6Z96yefTDrzGysJL25i0laPQ207ctJEvYGCZ9BS41CAdDxzRrv7Ydh6+91l/I+yQzOYlKr9z/+g
qHi/4TNFFbZBpedSRLyjVRiaFRta1hp7LAeXKkHVXKQELCOVv/r9Bxk/j0rftuqfPuldaQEUqIwB
i5v7PuqItQz9b8aMVJxjUYWO1HlxBE2L0SY50l9W3toFPPf7r2CKX/xYx6DGAecE1dd9N631qpLg
83amb9DDeAZpLTTy2VqkIblL87wBB5RII7tHTKX2Gdqbc7isJDEiQ+YYobyCiEfGVlsxpUubS0by
SMDMbCE4EIZ7tt2ZwEW8KkHa59E+CVW5F+PYbkCXsQhin2yk7u05yrzSgcNbTlbYumiKC99DI0Vg
yVv670H6/+a9/fHnvvOVp1ZOgm5mG3vQt+Fd24zmeuJoFdDunP8At/gZRPL95n4PdnDBCjEG5sr/
AMsyBtpYijiWfdK5r8pFvzvZ1mdosWXQ2PXT73/XX4hy3EGM10uMxPdPW8zSP3yalnB2H6tU7O2k
v5072/xo4pM8pEP01Ug4YUonU7ddnMdHT4l5rzTUbCIjWcBzInXtp6QUcyeDltcwd+S4TdtOHenQ
QzYeuyJIEm5hZg96wBzZDsRUlbcQEAFlZw3TgtHgb6OTtmpN7TQuRYlcyhOLOuX3v3P5Gf/mArxd
VCp+CK4u2C9+6fI4//AzcQs4usY+snck+vDMCfV1YeLmK3xHuyUkAN9KJ/PsD7fyVy/qTx/7rqYW
qmJxq+jcapa9QPjtr25msDM3YYbkRteO5TSeQ6aSt6Bbq407QNL+/Q//5VdgUcKgT4aYx7zo51+e
68bY1kVi7M0EY1jLlpjY7TU6IqjWyuawXDt4rXXqTdP5zKovt7//Ar94nDFZ/vvz37053YDF3Cgj
a6/y7rPZJuNZlaF5LKTDg61Ff8jJW04K7++z4+mYw3XwAvzvz782HggUUBXuG9ts05MxZAP6Wfwh
v/9Nv1jpuZ7//pR3v6k1EV3kdmXtC8XBf+AH0p+wNoqO9B9u368+afkpuvBsTqt/WQxqvyvn2dH3
czggHvSMj7njH9hn/vCLfvmY/PhB79YBzh+dImTSYjdhtJwM6iYVrrXz8ZCj1e3M+yxSDorCpTxG
m8xRoFb1H1BevzgyW7ruCl5RHd4DZ/ef714Yj4N0k9Dcd25a72emMA+1sIwD2QnmvgaZUNV+FkQ9
M+eknyjfoliuXYm5BafoswaueVPjqJdLdVFeZVHx0WlMBmSJ+IAEofrDgdn868MGI5qED4+mBN/Y
fvcYwDDOMJY3fDWYawiPyDGO9WRHsjb6Hm2+Hn1n3KA+2HctQSoY4+sVh1BtmwA2B+BYkjJPqHPQ
9OWBMjXcpAwcipozTasxieYQ8VrXQ3TQZUEJx0QYaKVE+I1zvZ88elZaojb1XFFb1aGkG/kNGhDp
XYMsQEj21qlt2+8lzv+X3j1M9bf//I/nr0VSBkkLGemL+rHrtOBkQE39sEoEz+r5H9/euLTn54I/
+1/l1+fiufzHc/n1H2cS0V+em38c2pz/2/7yb/rewfLNf4I1030HLArQ0zfl3fcOlk+OMVw7ECU+
jWb7jaLyL02eYf6Tf7MQUeBBuTrHjP/uYZFjbFsWEcauYQud/+JvpRUbP2+bLqFUBhhjnXhl3We5
42/7adtketMSIIQEJx5IAkxt1DC1R9KjS3JEHDb1lmf9lXWhXs9+9kJiNxVnpRlr2aMzTyoMRl7Z
BiFT1HU4JB/6ipf2h4v8i8Ls3cL19hU9JjS+DWbZ52V89xVpS9hoZaJm5xWwELXZEhtWBTI4Yv/U
E5IGaeXstF3QRoQSZQ7u2v+jLwCeTnCpXAhQP18jTIC1N1g52KuIL2DOY79eIoxWZhJuYkl4eIfX
dtX5lEUIgJmS8T1+/xV+3iS+XwJQobph2aCPvPeA69bC84r2Su6aLoLYYrgPHQK1RP4phPZdn+5/
fpDDx1igu8V7IikqulZN5MztygqskgIzvnVV/YRL3N9iWEjWEx4lSkY6l/0w4N0M9fKkjeJi09dk
JOJpGxOR93Ob2sOmGYV+Z2acwpf3YufbY3PoymraNYWVbbSa0wIdd5fTZl1jaSHzi2ofnXQnbrGD
I50JuZCTdD4BGD3oTesFCNPCY1Qiu+TsOe1ae46vp/AR3x9PawHN1fDsrTUO43lss1fDnLNN2+cv
pYbJnQAm8ur9b3Rr7oB2fPz9HVrKjn+XJcuF45XQictYZLcU9csd/KH8dOdSz6NEMoozwbUjNPuU
wsr3LDxFIR5C+BD0n1zZ+38ovt4Db/lgizwywH6uCUCOZeTnDy4YfNQtfYCd18b5BjsqEwxvVnsh
akQu+MzA7889CgBBLsfEC10iTFi7XskNzUexyeNo23mtD0iad8o0RBb4Ic3PSg4TIj1CvZf2PPMY
rRR/KEmE+MtFsxx69z6gfLCH7nuEqN75Fu7iON+RZFsGkin5VRRnNepb/45eVLXJXJXvVKiKcz2S
CWsah6WF3uX0AMPCOXxfgKxxW9knx3WgsLR0WnyNH43Vn8ZFjkiRdt2Xv3uvoTybAOEYkzMEeA9r
VCLR9Kbnaw9as8QbsSiAXcy+X+jGqf217BSqLysXf6v4XZ4yPtkSAGmBLAMkf3ezO1GENEGbfBf2
bb3uO5+2ITajP5SkP1c93z9lgS5S8vDjWHB+fqTKvMZkiFBkF09uucPIkx0JsX35w0V8TxV8+zGw
XgR2UKQ1nnhXXJER7GLr73P62/lr6KKqQ1bqE2FUmviHLF5yXxvYW8DTkdA7c5Sz81cjsuZLDTzD
LruYfWfy1wb0jXXBSWcTz5G+z1se8iwdxJrjV4J70nvQHG3aAhk/w2FoDoRU4dQaGan3Ru5vNdQi
GPx0sfEqe6ePrG+2MYp1AmIDswr/WRvbxonBEprKLtd5PfjzlvSw3c2Qf8TMP2FXBqUEEoyJSuJv
y04rV7FPzqsQ7YcR0DrVNI2xUKUvxZy82Kl5Keo5PIY1nmTLTF8b0VV7Eg/9le6Xe2309XXHhH+b
V8lrE4UeicusubSAmZ2TObvyDJ7vMmrJu6jzF6fnGbSy6JGB07ztc/8B9jtPoMr43ualTHwCKcha
3ZhCPRFh4a+HZfWG39V+rBehgwWrKiAVWawzFNZkNKTWs6FPLMsCf30+JC8tbt3AlFKsIycnrlXY
n8tGpOuoK8QdDFqKB5SuZ5KktI2bp69GzI/uI+UFRcH3jZS6gz/6zcnYPQf67tEw0Dn3WLiHrm43
gHgMeEizosejPbk6khYrBA4ArYDEXgwC6w6g0pa1rNwhknhhBFWu7EURSpS7oClJn7KwipOd1/ep
4T/Itih4DRHnZqEX7yh+TDYWbLm5ya0p2+bOSXAEF3V3Q4GxC93ypdFbRisd+FwNmsLGH7mbxcRi
2cjUWXu5s5Uyfy39RjCZ6q+wLV3NRfaauySB0R9ug8jih7ZDgUXNvA5NnkAPG0OA6PachZWA58Qe
gPwxQ62D8S2sec6hV2mbCc/TmuyiGoFz9qpFGk8sd3Zyo1cbygFsLWl/6DMi+srIY1iDESAAzfuK
KZyHIGa1BvTuBQjBTkjRcBcRLr3O5+IFKVx+05E7vnZ6zbung73F//5Cile1jycdh33oPuiKTKOG
8vTkpB211XJjqAzOrdOoTUbLfP327E4Djw1zdiyZYa6w9ycvHjaFlR2ZF9PL/Z2a8hcPocMq4wk3
6CNh6udZama+d1iOW9Ab5Yaorh0Wiofap5CJpY60ZHkFCp4wwzAvFO5tYC+xZcxf5uty5GZ1yVJt
aPx9VVGbKy/mCTINbn+r87qQvcPESfTxadBpDBpDCF3N46GtVPLy9sX5ulQxnLLxi7OncSwlq8Xu
2o+dP5CCqHTW65rhQe7G9XXl+3KDFE+s3Ymgplm6B8MBO2qDZcUHCXU7HftThSZ3nWZhuh1VSNwK
C5jWLguWa/Nn+B08unB1lxuM3ukicvlU1VwLZ0xfpcO3DmX68rZcdG72qkbqaI/E4VWZRnxAi5Ze
5ewgtQNUpzEU+XYDF5HDAPXQTD1FleyuepqVdKvTUw7BIcgkqxILVbZx5vrJFtXpbXfCtYFhkLyd
LdkF4VE46eukh+Et2KItOFVUHQ747qYt6609wi+c/K8lDtqVyVw6KCm6VrTxH3Grs+Rp/L09a23m
VFyQ0d41bv6iqK+W5WyCy7mKc+f8tih1NssLNvGndOS7JbiGRUVnX+YAfly93CUGr4rjpS+TlqTY
yxqssKQIfT9NxEvB4iQm8YBsO+BJzm+/ELfz6/JKYPC8LFsBSMmLqvlib/egFv45IYeBaQzAlmw4
eVGKirhcHht4R2jegKVXRvMEwMg42U36mtVRTreZRwVJEOyVZaXzLBYT/M4P1WSzojqzBivZH25a
vNIbvKH+KuXNZMgw86dA6uxRk4dHtdwdxIk4IsiPnaMSn2vKezjW83h8W4mTcSnEnCiHu0HUFXs8
5JvZe3BzwtdW/AmHb+KN2xYkAlUMN4Cgczz8VTdvURkzccWEAP+iZvtpWRF4hvnrl33FzPhS7VI8
Z459MZpwA2po2pkhBl0MSf16ecLGmf8S0PcFym6Nz5tbNVQ8dHif6jX9QR7TntXH67k1pk9Bsdxd
AsBAAvCGuzGrPqegcicj/kLZcyp4W3/zZXUMkZRhwDfMlQbPZC8Jsdose1zj8wFEdfvMnHmB3Dk7
OUiPEBmw3KS1kQVv5XCXpGS7o6m71sJ8ekQuBVgXJwBKKoorQg1f3p6VUhUvqRe/lvP4EOrpxIbR
0BHpudTLbkNSIhuj4hUgcJdsSddBUUcWGpI70pfwamN/FZhQurqUW1g35KI5TXIellxt5h/U57a7
BVtC8lZdseFNSp5ZJeVVYsXqYA0lXiq7cFajGY9BZ8z+NusGb4N+CmS3RMtatcM0IPmymYnXc/SC
9gvoEvFtybY36n6lvARDj4vplZDi10pWT2FTqu3IyeqL5mfzvQkV8UovYSpEtbpPCT3dcc5JAoGu
9onuPqqJYiKUyzUxnwLfC0xz1vfAP7b2zDGJkJGlNKh78vXs2L01ukIROD/hEBkW/N0kq4O3HOCy
mDpZzs3ZNGILSdVoHHU/eum0fAxSF3MsLS8TFSz01GzQ56u54XWqSxb75ZhHZFkWxAbTVbb3dkvU
U7z3tUKeSXEmIGyhwQ1VDkzHKnQsWjiQCNSyqFGwqcdo3Mg25YohIkPdTsGmerteGbLMATiin6Af
eVC+fCKikbTorp5XvelA3TNh72CFaHfE8qbwra2Qj8f6CocrDCyj4+9eyIT4xbpt09nHHHhElEfD
t0w18Z7s4RCNdoi2VzhfGJVt0mj6AhCAU6TBoGKJW1yjtcyQPipwmQILVZqVyQrMLHGrVoUZBT21
g96MNn8ap2AfYFT2EUJw3bnVkP3QkqZM1BEdQCXdYBH7wtj2mkH4VQJLnIdweDT04Ui0l7fykqJm
Kde+1Q4PnwtxkNG1IfDUa8+2YtVNJdQSNVuXCGkiQT86FgozC0oQq/BmuhY8haHtZRLj1BgBw3rL
yWcm136lzyxLSZe8GmPlb+MFrmSErDRVGU+PprLkcodnzALsQFbphK8DsJQ1nuD8Qyk768qa9ade
sFRoRvsE+JWSKpMNODzfYnmDAA8DB89PRREc40XYIpVuDjpnuIwZLwrQt3Xc0rITGVivMmJx0A1b
bTToNbuubvhTy4kejQrLgclr6tUUMqVuXIBxoKEtE4QLBc9ttTyiHJh31jC8+H3n7TI8W7HHExMi
915pJTQ3TCGvy/fsPf1i0H3YtY7BsZDdeuVTZndG/JLZ1ZOegbXsbf3SzqAMFdnb6yFux6NhxCQD
6W7H8DS6xYB0qifjMwdIucWZ2Vy1umgeOy37lLKnRQq9tpj8I6Q8c4XdNLtOB76NR1WF/UdRXS/L
6ayK+Trr2PF6T9XbwfYezIS4xKk4UWCMt7M7NlSB5nXdUNdohg/jInE4N5LpqMSAjWUs7hFcbnoR
z1slcn4rvu2zNaTxrd4Y9adE59qXlMkbI3MP+EqbK7IZtT2ez4oCi2tKqCTX2XI90EZlQ8RtMjwU
EkcOwlcKz6V5lURoEqAhkmDHuhYSxrvJZDyeNc0U3crxl0W64LTS9zW1d6uQIgzUmGLuIYAkKSjG
ptrnkbELdeKGUGK+llr8GrHbNw37EJ74c2TyPd92dDVyCFvKHbk8qxGPyTm0UBxF1AQcrsUmNScN
bS8fYC17ZjlVebFaTi3zSIPIJbIx6KLmqcLLtO6HbriJal4pRkPcbBjIO/Re4XGiM7mQjMebDEfB
nexg0xW6sdFwScKEANWZc6IHWMQzyfioPCW9SRlFOCbAOd84RQDM4E7yDIMGmz8XBKt+bZIRQwiS
BTogxLb4VRetO42nyZ+AhuRDy9/SFK+gG/WXIuzLU86u9/b0c97EWkGqPIfVV5oQ/KrcufMgFDq+
uAAG5agXsnOlNZ4GGlW2NeNciPz+GjMCjc1s2QMjns+uEojCqaFYFKL60oB/ZDPz6zXzoXQt9Bjf
GssYzchsU7jo8jFtHjXAjqy49dUk5nljST5+yj3qVYsCK9HETd70JNlY7rDS4sHAuUJXiqedLa7j
FvWldXnbe/2R9zS2woffH/ztX7UXMD+j3ETNoetLpNuPrbI+hYUTpVO2gxfGQdykYQtE70nWNAUx
hc7bWTMyfgV3Wc2YYGJRdCw19QdbfvRk/aB7CUGQMQfdpczoXF3bOK77kPXRrS7GeW0WrrZHQEX4
7IBNvB76WwcOQyA8RQGsose3RubbGQnO89dEFfGrM5I7guX0gikTfr6mjJNwpvHo1GNxAvtCQdcv
RanLGQjIUcJ5KUORomxqL42RzNshrDNM767zwA3h/C1bibwZ2wJPVFIhsDLzwI688JAZxvj3W+RM
BNCjIHbFpu+/zyJM8yQuordw05Yjh+cO4bHt6Eg4gqILVdGH5G3hpY+/Rom2nJIoGn9/W//aAIUL
xjADrpPJLOV9L8/EIGInIut2qQugCFhVvIfFyi7kSCKhtBTAj4MTqc8T8w/tKuMXbUSO74y+iVCB
V/DW1P6h98qbbXQw2rudJ+Hk2SzqUM414y4ZiNO25pr8bwQpm1Cf0XXZ6W3VF/29X4vdZI7G0+8v
w9KB+7kPbHEHCLUxPdfl8X7XB+5Ep9fYe7MdIAJtszQMYINRQrej2jQ2qMGI1fX3H7n0yd59JP1R
G5K2S/v5u/b2h59vlkrnuBl2uzY0vU0uAT3LiH8yciTubdNDLdWGALdNjvq2L/a///RfvM3MCfgC
DEnfRlk/v80FFxVblaZ20qMYy2jorEsOFH94wn9xWekyC/gRHn3Pv4yp2E0FQmwiRmYjsdbdjIqi
ScfP+BzPrZ9/mhQQnd//LuNXP8xcVOT0tw26+8tT98NlhfUTUZYUahclaXuFPMnfJspqDiwJtHIG
7wG/ESoXne6ZcKKXYsynXT8aNaBFiV+tT77OfzMtaemYLnNEx9YXncdfHi5cIU3i6zXvWJZ+rmp7
+va9+M1Sarx8lOc/XIK/jp0garhEbiGoJ7bhvd6tE67mhFhYd17inhsh/KDUoDZWQIFIMmEDNnrn
2crTxxovP+m6j01CCkifDNdwF74qb8DGZifzH0QEy1T23QNvEwVMNA+DUxOYwfuBIBy2KXIj6Fp+
T58mp3h2JEsNlHm2TCEOXSVPMU2yj6aq621bcYu0GJdsolVPRjPSmKKOQxcjxCqpSuh7jnkecKOu
VJp+cdq9rZCyzhYliHIPZmtekEe/dlGMeSvqUmKzI8iVdGrcOUI9WTJbWqaOWPkR7up5urYKhTHO
XM7Wui5WANOY10O75dLQylrGdm8bGwbf5vD7Wyb+em2WSbKNxd7x8SW8n+f6Rj8S9abXu4hMOXRl
4NJdhV0rHwAH164kOBr+K62DAjpVD5Nu+Zm0ViGtAkyf/gd7Z7YbOZJl2y9igoNxAhr14HT6IMk1
zy9ETKJxJo0zv74XlVlVEYrsiK6XBi5wHwqoTEWkSxTN7Ng5e6/tubRqI046wiqys1rvtdDWmRIN
a928QAvetUW8nFbj80Z5dELj4rf72bsI5McNzUWPRBqShWFbxyL748qjl8E+ryg2KUqhFvqetqWn
Nm5KV2HmRoQhneKCpB4VGqlLjFCekJKDfeHXj/Lnlx8Pic/rRbYvmhXx4S1D2WnVsBRBfszqzBx5
MCZvQlIOzm8+yPx5p2F0iHYLSSnaGPfjTsMUBE58DmEsIoY6Tal7jDlbdg0R5G/50tLhcOlKJWt3
uZn6agPuim8GI1KAtC/ejrUEHBp/TghYv3AL7nsZV0CebxZW652x5PJOf/sCTTiN05w2nBZxd/n1
0/q7XxoDPAagtqujY/o4OS65uZoGoPi9bAtja+YiIdB9qoOipepEmd+E1th/Xe9Lc0b7qW/k21x4
v9mxfpSirZMrF1kE80QLd8/PxwRA1NatDaPe66L6ZvlzE/AY+LBcYZGff/dp5o8q3T8/DiWwz9zX
Ql7pfZhgWZVB1KJj1swvSWrK6mrermPJpTXjwDdimwYuBTUCbY4IT8RXxVI9V6AQTk5BcS/0+HMN
q+OUE1x4GLh4bzKRcTMnLh7FfjucUmv8TQLvz+eoS8TOOigmLHuVkfy4tJQ9uUU7sbQAC6NjauHS
k62eYfTg/kQrGxyfnv9maPk3BT+fxhuBiBgNFaLkHz80p3QYqwaPIGQ/XuHKElzEJ+wplZgwdnT0
U3H7cqPtjy3tqXPfolG59gzpt2thYQJnSEpaCBGDom0HuIRGKIHztFaMXUM1W1tcMaXDtduyu2dz
od5674mUBhcnk/HzrnPX3Syx6deu4xdh9slNxo0qgPImD2JBBxcTLR2gTHvIG3MBbsJQryYLYLMw
dNhJdy3mo9Hf2+uEEo/ZzTTSJ3mfbVQ5jhNmbl/Wm7CTdHzcpDOhiF4tDWAGjNkRuhuv4a9X3N9u
G46FQI2HC+pLfCg1a4/MPiXYNuK5k9cIYGkKcH3ZmTifNzSWK85ALrmJb36mbU432+YXXY4NvH8o
7mHpwC9yZ3pE73s9tklGo3OCf0e0tb3tOvPlfbQpaihMPtPaM4JtrEsw3L+bN/9cwHrsrxSvKE7w
9X6M3FOxYASr3HZfuhzG/YQOunDXJSHkcB4rvwh8bylehBe5W8sdst+cmeLn/dcziRq00LwghzI+
Sih8b8r8cSqrvQ6GZluZaro2Mvr9Xk4n3Gp88VjWdkEspcxw97NGMsEJOUFSZFPm/9lZSdCF7hZA
RXhNObuYKLkMgJxZvOpGf5bN1bOGcyF4nz/Q2jA0+nwRsR4ykurZrtdpgE2TPaUpudeLtcc3re3c
pU5uVDOKRz23of35F2qAR207wHkA/tG1j/03/sfQI9f0b6JN833pIbDJXMaNv3ndfq4sPJPqm0xt
X3AqO+tT/K4eHpjVlekKOW8YUrwPCAqxjoQNJkJ1wjJcunzcxNlynPRMx7JMxRAljwwP6hWJRYtS
7xFOKd8KOK1v8nV/a5x7AeWZuXj9UjLR38YzswgXk/v+19/9z/ueZzpUFKx7mGQ/3ZH6TqtbYHLw
zDyxNyLmi+tWkc20I9+7UbjQf7PrrRK9H6pUwuDZBywuZYJKhoPpx+eFFyeaVcZNkNZ2vSEBZJW0
chy/z2La919vz1BoYH9ByYFoBOI3c84OK5iFVjdUjcpCGzHLBqnG7zaPjwfl+zcH1M9iva2qofXr
3/0yndlLgWeX2T6RjUVrkO9hpozo1ylrvj6VXz/+v/m4dYmjVLKAjsAs/PHjFHYCfFNVth/t9a11
i4tZo6ASLe8Od8ff3Yi9j++qyx7HjoKiEyEbcY0f3lWpBqaNKpF7KcGa+AlSWSmUu51gQDBqApww
ZlQkSRlzZlCGHhJ7jA4QMIBUVMJ9GkXhX6dDj/Ouv2oxuoXg76GpjkMTjqzRLd2V9jz36nLvj7Oz
qbsyuSit1EetUjDdXDpoRAn/8WRQzjq7vklohx/TvjR2Vdo2W60yifX1vPrAHUbIQKtIahexTXyC
RQ7bFI07OpJNqOJG7AuMQGdoOTQmKtkVgHFSypCD7fEC8gwJLMG8paUAjLL4quSevFtwQ27z0gMB
IvkCIIjPxqq2M8amhxLkmbsij9KtK7mpRauDETK9SUcQvPuGtCQGv1lhnSFQtdGBZX66dYqm3JW1
wLWfKqJiClFmdMkia2+5DYyAhO9Bq6OY/u5d3YmrWCbmVqM7fO4hk6b9sxiv+ASsfedm9m8WmvXz
QvMowrD6ciFGhud96CcSb6V8LeeUR0HhHd7vPVaOaqRsdSbb1FKpWehXdUPiS1SPIrCgQoSgzfkF
QqXaeqojaSOFG4Ol2CV2J5dfcjO1wGM3DohwoA44Z0Q4a/jTSJxnEF6qcscQQQRrV2LnWYt2P1ej
uPDX/3xadVedNO9tF7XJOAEw8W2SjXpVYHBKW+83DaePhxeyPxYUK5g6ho1G//Cqs3MasFAIQpMK
nJycN7SIfrN6P26e7x/hojC0fR2LlP7hAXMLs2kExB6CgZRMmoH2K0kAXDNqyMptB4ll1sBu/nrL
+FgU8KHsnQR+02Fft40POxQsNyclRMTdNRVJAwy/FNw9vWHslhkIBhjpaZbdHiulR4HoYLr9+uON
j7U9DOm1QDYp4Omn0nH5ccuam4KcoKJyd71TA0Ke0pbfNhjrNF0/kAiIY+133p7d7p62Q7YnRHF4
+PX38K6A+/4i/P490CIHfwC41fc+FM4sG+WaitjE1Mm07TA37aEQwCuWbIWzqQGcfVLo7adJX6JL
HqS4JP8v2pad6YHycpct3DccQaNId6DgvGe9NXmUTUt1J+tdgRvvFpBSi+Pa5cfppHvRABm+cOux
eTRjVAlAngHajX53bbmga+Sg5b8pvmyT5/jDz0gBS8uU9EZMhhZn84fnnHSOaDhCdz2r6mK0SA3W
69gI/KEazt5/CB9z2jXMa/eilXyBwWMU+At5WTn0b2CgYtla9CICS0bxwY+ltwWoqLGu9RYXrvlW
o8U4aCDugh6gzjaJrRviJ62wVslwRuAmVli4VCgAFm/vQCtjqo231Sat114cUDROt6DwqdYZe6nt
itpctmo1tuM732WqaS8n/uaudgYkFjK+nTVbC5xozK/npX5cVGqxCfVn9tjzzQp41nEjh5OZuN2z
VpVff/3KWD+dtDxOmvBoKl1aweSc//g4a9+PwKwg0IgzRe+k11QAMe4iice7AoM4Dk5hYBkm7Txx
YKeadLyC1K69Q4atc6MldK8y5ssYl1lmaTnIc2zu+qdmTl3Gy/5yzn/FuRjWLLdJE+WBRhKhKbF0
9tBTvyxpDTsmjQDedEj27K4Vu8ZsSkR9pgo0p3rs87nfQVkHYTfiaV7U7yob8dNuhdOR2yZtIyJq
Be3SH59AmnSzQzvF3hkDh7eHR+HVnEaGYHzjESeoZ4Z95XX7DnI7EScFHvelkedGSsTTLIhtSiVU
4CKviockXuUdCcuOMFkb2I+dwvAda15Mh1xAeDsL4bK8IzOI8cBIoET2umeEs+r3xGsZaAnE3ThY
z0Iz8s0MoiaSyVfuOsQjMp86B4zvHmJEG6e4TLzrjnoylLnXhP6Qcx0vZb0txqnbO/QG9oKR347B
JC/6wEdOfm6Fv355/u7dYXIhaHqz9/1UFM5TIplR8u5gfXvDbeBdr2tF9XUK9zQeftPGdX86udZo
XguFGp1cMnw/ipmLnl6V3nfssMiptilz6GeEZfK8XmA96wvQfEuP0kvpdPLc9BQbnqL8MkYe+jQ0
VPDQqQKmiU+DH12AxD9Fiw26DZXP5JzNcVptm5l1PaRIXvmz8AqdZUtMShSolOPDHFnNlO1vVdss
N2aFmM9o4GUaVdUeILUbTA6n8iJtdSckDyLeSSTxD+OQq1sG/tHWMOUAfzlZAmGi08iEQYvLWZqQ
hI7hhJjLPzKRvenwxxx8YHlMK/0e0EDpXijcFadRZ1tu6ywjbYxvh4lpvhbiw4NN8ui2HThmNEkc
fWCbbgoGq2MVdhqEMr3SSQAp9VcrItUGETPjbAkDcOergrYzuem7hge5ka7hhJJeEBUoC2L5zQH9
N28LLwm9mFWPvp6SP66z1nGAbsaoYj2FKCe1eX4KTEuwVJDpST5Og//07WSqiCKdEouLuv3xlu5k
kOa1pbLJOSgoQGpWA7I5/4jmCHbsAo/t159n/FxYcm17t7Vy4WWY538oQTzkbQ2ZYGKHjskKE4Aj
NFg85yIpGESViy7PJ1+AwSN5ra56dVAt24UDpyOsCha/O5aMAkY3CojpSoGHcFDpA79qvRIKUYLR
7euGHyVxKnVbtGzXdrke7nakOHmS/Nouq0/zuo3ExDuguOalc4z8E/rFJkwdVKEpGZhwoC0Ckz0O
O9h5p3yQ2Y4pw1sDo2C7jPZb5uafTMn3roHg3c1etJzT1zJDo59orFTqHkQOO5XGzv9+tNYZpZby
YvmMosyCp4Xg3kDki0aE1eST/rSXvIIEAOX6+diJbl8562laZIjBa+qSjFiMoC+IHdLXtTqb7B+q
6Gc4y+xv2cB7vjS84plS7QFVPGdPxrbbZnXzmCQZ3JSSMzNXfEO161ZbOi7L1tckU4AZ//mfX815
33Gtajs4BNzmya/st705wl1GWrCZ11M3lWZ7FEnmsljYLhJjpB7opoWHOLVH2eneyWgY4Pc5/+h3
sXdoXVZoKfkjekwFUUY+vvcK8Tea726v4lZdJgYqIli1FecCP6YGbPdy0JaFWEqjDQnlcPZ4lPwj
qcc8u9z29vniPDiz+6VAr0uulTCPrM4BUmxmhexgvMX27O1JbaBkSSij35e77/D4UJryCRqnQO1T
6ZBPxhDdtzou7fw63t/2/zPf5/pBXypGIUmMrPcf//XXB68myh/+IXw3VN7039R8+63t8+4f//Un
Rmr9k//bL/5ly/yNpdOAD8a1kFX7Lw7ET57OU7JU6tMP/LF//7V/GTgF018moZyL/+aPre5NUAOW
YGfwLJNF9q9EBVP8ARmMUQj4eh1YyOpR/2ekgvGHT7XLRYptjL+L3fufD+D6z6qYZ/c/crV+Grrg
BMVZZNHZotdh8/P+uAdP0OBR3hbDoRxEtaEPWdNhaYq9So1Li+3omETDC6bjCZV+/82MnOgU2yh6
v3tkf31b32NR/PdBx/dF/Pp9mPgY7HVYzOzxQ81l+TGha1UEqShr4bASPyOsDOto4PQcTeeiOTTO
NWm3l32Crmy2WwalcXRKJTnhjbLu+wa7gQnT93EBi6uX51bK6CjxOqK0EHiPjnteGwTWjNTYwu5u
CMajiweLhPxqfav3DyMsgBnLISkyYVq012STXY0Zch+rJo/c2YHtJT4hviJArsDlmt33iaXClvgi
4WbVFhmgs7WdYSLRD4pVOPFB296jUbCpkue2re+BW+6yaMbjY10DPFhtX6TK82Bby+qepTNmOOcX
fecSWVVNVMhlYexsQN+zeaq0aucQkjB4T1q23MZpeoeD8gxHzYGpyVkpS7wEMZq35m6a7Bc8fBDX
p+yS+2m/ETE5EZOovIMFG5Q+/KXyljNnsr+RWnbw9FeIRA9uzMd37knZ6taJjD1YitCYtO1oms3G
dPk2EJ4Fc5+Fq0mjyoevSWM5h36xDHo9zpvpL9GxtU0Jkd8qDk3WN0SlLuedMZ40j3Y0arR8Mxpm
YM3OHZTvo9JvweUH9GMcRsjjXTPF15zbO8a0KU+LyMC8nEPEjZ0zngHLfigQCG10TbCr3TXl9Aaf
8zi1+suCWmimtb2RY/2Mg3432ySPNmSkF1O8LaIKJZ3/8J7pZ+PhsgQdLzrt6LXCWR8uYy16jmoC
Eh3rllssN1a3fzAsTg0DzC5ZQfoALnniIO4Jmp6WcWN0NjcyePxZlG/9qXtNLSILBZc8fcqfXV7N
RjoP3Kt1YtzKr1WjoN7Lgtw3QqZMxGZF2n3ROzg2kQ7kA2RS55Sha4wBqbJPaWHci+LJVWq5Sun+
Pg1Lcd5m4iaahmHvzSMUMrBmR2ECUx2yc8xDW6cpCWzPnp0++pZpFVGTV7X90AqwnAboZKxj+o0J
qnmjjcuxjtMnYZTjoYfpOqALXSL3YpiaLfovMrytKzHfKK8+MY0LWiUh5om5uhA+NW0PCrZ35HU3
RfCQ0+7A9REVAKRb5mt2dvDk9RAbF7AzA+Uf2xK4EtbcDdvBdbL64HA/P9VYSxcARNGShOlY5vT2
DHVqfEOxckiPSxwrnMGwtR4ut9zbNdk197VgrI0bSHRwVkly15dH3SsOwxol3IEKZzj2BKYmEBox
weXkQnU1i6NV9YLiVu+JP3UuCZk8kyZpEebykAymvSVD4iXBFxtkiY3lxcbMZtHlmK7QsO8Rcgbl
4rnnAPdC7ttfnEFcG1G6Lifzytd70kU6+4qYwCOzn1eCyo9Jb3+tMuOYchmgw4pBwKyKXZaXB5s8
1IucDuuuchl4IEG/Xc/AYIn0qxgtYFga18ohUanVefIIQWJdO3p1cgJFMJLpaHH1UMNOzOjKNce+
tlV0U+QpcJSyvk+8cj/ASg4SW8IYaevPle1vxew8FuAZHf7F1kyzXc71cztPFVWXenBhFCN9fenn
oj5Io5fUSd7jMs537jjG28nH/9AR8xJthkLd65p/tVjNS5fbr2Zn7ghiudDn/qWZs6dsdot9V/Nz
oNuZNQLXhzlc3MS8nYV263s8noJi03MJnOsR/fQ4SjYNinguFyo9uN54HIE0maa1X1T9ZmXFvuzT
T6RHJJtxjo5lLc0T6aOA/rBYBUbjfaNz8TjZFFH0XkM8xrvGWvWsAsddgVh60xrlwVv8T2aPGLdp
fd6/Toc8JPXATLUHs7IuVrNdyAq77GbjifBtxpu0CAU56oFetJ/SzGVhFAbBNuMLd8NrfBT32uhd
6EN3uZho+tvUxTyO5cSs4uMSi2+Uo/YGYHO+NZL2YuGxalF0yoZxp4gs2ggCFqgpuV2RGO8FUjHa
V1MUkgp0ztI7dkYPTVpo16oekO/KOEOZop2EDlQ6ick0rWowxPktTjsMXFp80+b9Hg6KQkPDk8xC
5biAZa1jtYizsR0pfs8cuWZNe8mh0roNmdRnjv3SW9lDVLQgBgk5mXtCsElBqtiE9CradTLa18rZ
1tWrbMvLwnefBmUcp9zfdrk4J7H9MA71LrLKrUF/IaDjeNSTKSIprNtk7l0TjVucLIc5uWyq7mku
GJKM+QE3EN5H45lS7socBzohfswAfJ90EdaZNjosmlwv5OreibpPKuujjRSQhx315PmKtHUU5ZhD
S98ksriHSXcxLcRLEs+EjF/daIt1mid2LuJbNsCmVla6e21P8ls9n8eDGxKweSWnN0iVl7T/dynA
NaVbb1TgXLdBG/a5cU79hjQ8eUvM8quMxZXldJeWow5JFt/r8xjqxGVubOU/eykml/6toxJvZrZO
MthbW13azcQirJ5ZIo8Nod9u/kpe0AtZMK8x85M2Sy96vb8ivyKwEJMRKSNP9AafsOLdKAj8LsCB
HmvgXBdXhHS+FrGWg0IUn323uRx681BN88mNk2LbpVaQ+sahsEijNPpP/dI/Y5EKc3sBhpZ+oR/2
ubDmc6lhjojAY5o0nSookFgTW1SVhFGRkEpsRHIHltRiU5DMjdiWSXCU8M5F14fdVOxH67Sk3nE0
8yvdT74N3hBa8Anw1HJ+VnSUJtT5YHRkpp9wDkEc9JuLWGQ3qiQmcXFu+2IIJLoxks9f5KnML8z2
IUU6YTXarm7Ty5qeKheqamMNzHgT0oy0xQxLyY+VXtN5LnsifqbxUBXtV4RL5zLJDtPqoyXRUcCG
xgqZwyZcb8/5uZgYMbnOo5rUZ3iFUdgJUWAIlEi+tZb5egeTOy0eJuALN+PiGwFUe2Tvuk5hU1UI
WQaieTR1lqV5kHUmEilhX9fSeeEy+MWM+icoEHvEosXGFeqRceShGlMSqlSIgylwQJLGE8XMcj90
zMHYeDENB5Zd3DY10r2o3c8GGfSDFpjxaRht7NNyuqDVCqKiCvzxLZdFgKSka3CIMDmMOgLc2zNS
D7ZO7gbT7bTIXdWihS6vmgjzpIbGABie5PxIuJf3tz1H0XamqZqO+8V/iF3zKR7126TX2Q+8fRLf
Z0m2Rxd36BNxvTDuqVV/MenFzWBcFxYvEMatJXnVdLmZGiMjlNnezOnncewOzmheJDX5kloznRGD
ini+cd788lGyNucqPqO5h82oOkQ+F4m6QeYK13aON7l376Br8kT3ibDuDfqNfmtHerLxqB96zX3K
OqsC0PHYEKC0NNqxN88R62HQYssSlKQk8JyR/X5nFPeDTQLDLMagb7MG/yvyJDbr4iHWSSEsB7wS
PlPhHtgvpWW7wIYss1PtOTipbAn1E2XFMYosPH+68rtne8yqx6YD57kkROoMeTe/lV3nXfsp13qV
WcPXYayyED2VvrdtYqM3ixMNAdb9wPTsKaxsW//ilLm88azCOdebmMQfNvvi4Jt19lgxbQtzo/Bv
l8HiSWqdfC2ohg8581HYvNz7ww4fyhnqRLMPpJ6RsATXntzR5Gi4c3xwldC/8ZHeF5p0y2etAPFV
2HOHaSY17iqwVeBM4+7Kk8gL9ZJ8Gl1z1R33PepjCrNpM6iyvWmKzLoHFTkFms+kfk7leESrRQrO
IOJjr83mzsVmfQ1wftpGs+EdY0imGX5OHNl9VTenskrjkLOmDibbX44a7quTWbrRGR3o9szvXUg+
TJrAFCif5w7s9tQxWg9Kcz5VnomfO5719I6WufuoK33+Ulclab6dE+1i4nSvxLRUL0A2/MvUWsPT
G4v147Vx8dlLnf5Zyy173FAap1di6Ox720/lLdSJ+aYlqvjSGJV9O4h0ulLk2J/P4nEgv7X1BrX3
l266jSpDPGhCENxVkij8YnvauJsIiUPYP+U3anB7XJyLewHetXslSMg9FFXv0c6fps+pWsrrPh+7
axsT9VXeG+mxSKAa0AJfpxYJ4XeV1++MGWBzTF2/cayame+wAPKPTCOoRFrsfRnXewJ/V+HlDFtV
xhHt3nykaWZJ+8lCGBwQ9Fy8pnZuAirprYMgH/CcrtDMnlKSYpQn19X0OskejrC0g6HL5ysTP1lM
stk83LW8mTOhou1c7AnVJaGhWb7Yeapx4217lD/RcB9pzoNXLlcknbw4SX4gR+AoUfmIBZqs6JKD
5kznTZISdzc6oe3agaYTPiE0P7Rnzl/dfR615jjMKWQJQ3x1cg4zM/0kUJnMNGuZq+5IMQ/xPY5r
orw9IW4HInjpxULfl5F6mszq3izFMdG9y1z0GC+XQK6hSFW/HzL60urRMDo/rLX2mbGa3MxxQkVZ
OPeDGB4i6P71TO9PYydKZHYxT9ox9mYmNPFwrI2G2DcgjYeiXCfLi3k1e/0G3VYOSroM/UaemmRs
UU9QlLdJgs5b7AbV7cpWM7d12PZPPfrsrmrPASlvcEXt4rx8q8v2N0NZdNQ0Vf7d7GDIbiObQZbs
oEKmF+1/aLrgWqdisp3x4ORPXPOT82XqpytCXAh5N/L5THfK5nKq4uWG/UnejpCj7w2sbVeKyJ1x
0zrlQILCUHx235dKtq6aeV0/9rqS5LqmsnV1Nes6M95X3Lr2qiXO7kYLKuumYmn26xolGro+IeFb
zvJ1BUfvi3mKrRZGTqadxRFrfV5XvbeufxzZcUjYQ3Mq/Nbf46Wzsg1MK++YRtm8LTGPXzNYM3f1
urcY6y4DLWI8xhE7j95FU9CI0bp37Zl9yWipz2Mpuzs9rdo7vWoLUvYcdVYvqruKF25j/rrTmRHN
clSxOo+LfdBed0Qtroxv5rpLqrlLjrKuNn7dyDB730z7dV/Vkhi73vtmC+4HWn3mydeyps6o9dm/
FWnmhxK+5+NgSS4M48j2rcvROW/mUd4IvzK+RL42hQXCTatOOeTfD4GqJyNjXE+Gdj0jovW0qNZz
g2j4+Y003D5Q66lCP6d6NNaTBpELhw6/zeoYQ24Im/VM8tbTqV3PKUYw8jhN1UW1nmFyPc0IcXxI
osSMN97SLl9pEp7DQPLhbptG+ziqQn/25r5DE5bk5tNsuzS1CsJJX0aQI6waC6hzHdOAyng3w94Z
KqzfFHAmSk7iKMpLt81LMjJlgorFlJf1wJtnYQSvubQdHE2SdI7YKfokChuoDKOBhctN1Rm71tZd
har2/RMtxT3fLbzW5ZzW3JKXqZSwsqsqJ68rdT55pMOcFymbxN6BzUzooyGoFBhalgQ/kQjy2dLr
m8HKmXrUCH+bHTmT1CXcFoK+0ciHGwoEtGnn0lWz6ykcmuZWcts8jJp4USWtnF4fuEks1JULr++c
r4Hr8xT6WnSfps193ski1MZUbdc0pEvcfIgyubB/4xLzpIHvPFm974dtLR6IpKIC0kwr1IshY4eV
HgSfOL/1Rke78AAyhhz00IT0LLl3iV/YMEBJz6Tj3CdGeu9hpyah3s8OpUuZ3Rf6WWwZcIcGOcmd
Mw0UPR0Od/zor4mh0ysxkjfSScBhNwsxaXTMQtOYLyDM65ux4I+PvBgBGajPdm9UZ0QCWjsClAXT
9crcN3OutggnSRpdxN6TFYahcoRND+hlRzOVtoquPuW9fkNdSFSkM5FfbYwPdTU9ohwr70YiIq5M
L5d70feDh5s2Q+7r1nKbZ6gcYbgRv6WRyGWlTr3z3GXZeGJod4PJWqs8+ppRW3EDi2eXkNz2dSwH
9zgbWfKcLOWrTSI1eUO12ucuk3LC+mDfLXnPa5UQ81kUU6AMchy6mkihNQAoWLkwEOBtseYdFpQW
tc51/trGjAaEjIppllz5pRdVj1XU8RueubXiCnaC1h/u+Xv2MbbsnGMXYf9D6znE1HZ2RLaDrx8I
1k1OVeR+NRBx3oNLX3gL2FC0ovzKLeYNru09wxGkIUbirukD4rKuGDpVDs8u9+VXpLf2Joerssma
tthSFUAxnJPP82w+j/mLbqcnhPy8EYAg5tK9XowKrnxWvjntcjsblUMp3GPYzjss8ZrnmoAfkviy
VeawtVI2R0Pn4jGUHocVs727AdzrA64yUshd48tU6VZoN+mDiwPPQH0YaoyjuRnXauPEhryIXet8
dkdJL5n1NSkOCRCLyZaG9CXwQ3jwvVs1h6QD7oCWTx7iMV6eU2+9ZMYWkasT3lci+tBMB2k3LK9R
khVbgqJl4Pa5FgibppfbpfWnVM7WMdYc/VyOfnrMO9FeRZXbXQ/4ka/tSJs+k4hO9WQ27mFaK6ph
ra2atcqy1nprfK+81hrM1PBGaWOlbaP36owdVzwAnptu1Vq89Tzx9ynD/9mE6vsB1T/+H4rQYR5F
T+zXaNJAQiFN4k9Kfk8i/fff/HOS5TqEgOvmOrXHqCOcVSn5J4qUrxCiY65m7NXy+F2ajqX/ARoV
ZT61jrV6bFFx/DXL4ksOFFJcZsi2DJTz/9ksiw//rqwikAf/jM8Iyee7gKD40dXXS8ct9CKdOWxU
81Ag+3tuXCM+eXRbOlxganohWPRzlBnqm6es8nXsW+rrQco+FO0IW3uoVOjahGQpY6jOhqIme81L
8q92HvdP//9lfJ/M/u9mqmiu/ueZ6r1K6l59+vAmrqNY/tpfM1XzDwuA4iroWN+p78eqxh8MMlFs
I0FwDF5KXpO/oLiMVW17nZ2ihISab5l86Z9jVZOYKF8X+H54i5m8/kfBTojEfnwXvRXLK2DOMqrF
c+zrH1V0ZaZp5CP1sLLFTNebrhAN5EMxFPkGctUzYs14M0wyD+wW2NJSdd8m03xC0P0MvFm/jRpE
XHYzfu1ISoVLVKxdOaffahohi1PXlHdZrbfnKwdhPY3L7YJ6AFVEeoPYFGU1OLMDFxvO9bi+BLmD
zDaZJfc0+7miUiZCdb6t6C8UNezrGS12Htv4rqH2AYLRSAq1Li08bxu70ppXdEt0PxluHigLHPqJ
VsSnxsNrwqwWRc0FSouBKMER6E7hxNeM1HwCOrEI6g1dIMNKS4JrOaO6VCxntVY7F7KMkO/XrihW
68n8GPk0WpPs04ibJaPLDb+6m7GJojULuYhHa0IM2oWennVqiv4WrN4+U5m4qNFikIBi97slmiuS
zH0t2zQGIrSN289keqS20b8ZvX/ZzrETGspybwQq6MCvZSibNtvPcJnwEDTlyU0rkIdTG3226Ocf
HGrgM9ma9RaFHqkpo+8eMxgqZ4Banc+dM7+qyZeBxX1oZUS0genDNaxLq/7cO752isAVHP2RfkDS
jel2yW1xWjLV7+yi+pYa3binI+NeKT3FUxCjL+xTw6QSqDz69q4IMwmSaPQbRQtsMm89rgKEfeIB
wnlwRSs8e7aq+Vl4tQTGQoRxu5aORatfiLWYrCsh0btQYGZUOEnpZQe38l/9tQh1Bv44bptZ7kbD
7cKBarVay1b+FCSlWsnzxM3vmY7du2uR663lbhFPyX0bgdcjro/rD7JO/DcUyEQsedxZKJqXzLfC
cS2kOypq14KZ4DIYOfVp88T76n+b1gJcX0vxxayIZ13L86Fu6U1EuOGn0Kkm0C1U8ula0g9rcc8U
cWUHiZe8nPRD2rW3xnoVyNZLgZNa7a7oq+5Rjwdojo53O8z+PZye69Ki98GRRK9ECmfTDvQ4N/4A
RXia2lU5YJkNsfFYK49lxHCSa4Oqr4Uz1aFha9pWqiy/8uEdhpVg2ko6Qk2Qeq+u4q4dzggqSdBd
IpbPpWQ789v9Aut+pURIhh2kjyK9Sm9JNPX2XLEgtdvtoxG3013hF/RL0X78N3vnsR03knbbV7kv
AC14M81E+kySSStpgkVJFGzAA4HA0/8bLKdSV3V3ze6gBz2olihRTCDiM+fsszf6uFz3tgvYKTN3
eTqK5yLL0zUfFSE0jhpZqmQ9LKJBiz6xABo3UW42Z2it8XFWkmyEaOTWXxlOa4ZD1L5VdVuGMT0Y
o3GGAa6wpytTadI8J8AoE+k9675zj5CArVu9jTBBRg4aoUCmV2kQjKhqf7jVsxk9ruYSQqoCKsaZ
rk16FTqBrM9X9WxcI7JlwoH2einJqy30QyhNXcQCxSXKOO+lD+akZu9kJgu/XhSiZPypu2SsasOL
6gL3aYgHb9/4KnrB849CSUef6Ix6tkttLzlgyVanxnPSJ+ByLBWqxrVWCZCy+2I2tBv4TTMdRZG9
uKX5oieMcCpXreKOrJ+6m+7qfjTfxtoYF3yHDLW0Q1KG4hX31FTNR58wai9gTUqrLt9GqxO3Xm3J
I/FOck8jzywsqpl9eUW+Neb4xbeL+ga46Qn7vRl67qqPWYzD0SEeRFnV2tea0zRGJm9uamWhmHKa
2THxTnYhsjs5R/U5MvrsNtHZOlT6cB7cdNwJu29eSKIaViyJ2UM2ihmwAnA1pMAIRKf4cWZz9jQG
fBuFVPN9lMzXySlFaPqATisl00OdDVfuIcbmVQTFTXfiL7Tk894otMd4avTNbJXAC82yv61y38F7
MqchONshLM30PPkJnKPYrq5OpiNuTtGKtAbjBzQ6y5gAnSGoSNo7DaL6AU36EPZa44RR6oud3uYt
WJseSYFoyIMS0JqIR+UUTp03yFhlGLh08XYQXEXrfk1NH695xhoPHQESC71GDTgyVLGGbt6Qhszx
EmGlqcroGec1t+LyPaDBtjZxCgiSZFrzxR95mwsSMDYABoIL/CnoseboYAjLCUf/okGSJToKWfij
WfvfnS67CDlw+kK5JNlq45v+7UgluprG3NIwTyXy3pQJanI/11aOlt2TdbvoHtzsuaZo3TQmgqBg
Tp5F6e4cTRahy51QEtwQfEJygME+qL9VEw+U2xWPY5N7+C8VpJRCv5nHmSFZo9bcdtkTVFKgEpoW
rNvlk/ZzFW2tkebSFxw9fVB+Q5bwhSbt8+iZET9UUrU2BbqbjYd8cNFlpUd4rXeY7dqLr8fYJLE4
p4ZLxhDzsDXx6GaIzAZZ71yWcLA8a9+NefuI7LgP5w4Igdv3Ym9N1auucQrB9AnJCdu4vfNFlWxW
becb628Y/L3BytlyfrEV/K/3+m/KXWtJEP37cjd8/da+/hIK8UoH9v/2r+Nbkf5L9fv+p/zah1kf
zEUfiD3Rsxdc0x99GHWsYaM2piJG6Gwujp/fql+dkhkgBeWZYziUpX8Uv/oHnWJa18k0/VWJ+JOG
8N9pCn+SdbP5AITN9o3ABUhKmLIpjX9whmZZT5BdVERElvI2ZtPOtZMtw16I2fbuh5/TX+gGfw6f
4N9Ocb1IphezCrrIn/6uWBChiTM0AuZdbaGC3SvR7Lvc25bIvOeg+SR0Z93Ll8Daat58G4tZXyfW
x4I3z0yn01RwqfP0/4fvip/knxrR9+8KWTutMN+e+zOfLKrTKsDwGG3qRG16pEGFK2Fpmt7WiNvN
TBikp4m126J8B2gZxGOoItbVEVsip8cMUF///TdEG/6v35FvEm7lWIxYSRPhefnxMxEM9jRAvtGm
m4dkZ2b2AUW4fW8HRnQ7JcQx1o5W3NbFOLR4H2bICGyt+9mh2s5H+zAn5WetLZ0rp0Nxsgj8Odk2
949XbtlWtdwp8rM3fS3oQ8aeHVhVXlw2/7lcTf6ISskBNhKvyNHaWB0qHOCRqLsQnsxhwzILx+lF
b7QwqBlb22WYFfYlyIftkKRHV7uXZnU/R9x74DLtBrO8r5aNdwjHnqWUeYzdaDc01blzzX1KrdG0
H5XQDhq5P/P4RStPLjMsnLfWsaZcM+19HjyPw/gyDjl0cgW0oZ68g90/Q8aHcDpCXqp2Ftxv0RFD
3sdXJDWpl90U3D6Yxta+o0DlRUcnAQ1uk0YYFYty9EGM5dGyPJIELVSsMft80W+bzFfbJXGWCU2I
rRlHBunfdnsZE3eLyH7yJMhg/s5CUrGPW6upVp3z4vrBMRPO2ivzg1E4KMwHyotxS2odRokKo4Bc
x0XHj4e/JrDDupH3Vetc+TxZLVv7oXfFapYjNgpAL4y/jeZL4t2aZXMu536Vpv4aRN2ykD/WNm/m
6G/0TKy19CGX1V5rb1Ttbd0geR0p4W37SzNVn7vuawkLLEaLBTH4tsOjFai7tGV5AlBa+N42Zawb
R91wQxRL/YC+53PsCe2iKDJCD+OxxhrlHoBk1a9jHi2zj1A6CLv6GltNRMYs+a5rMdYZCoSyeOtU
mVzNOa5eAyul7rKc5aWJlvs8Sg6etB88YzCf3NwcybONh09yXOhNVhCzn/ECsgAKPX4WdV4Cd7ei
lUGmOlrWHKLuKnIG8cAtzObW7bywb2eNDacE7s934U6vTquKfekI1ERTM8aXZKzTszVYt07budd2
Hr373hS/5qD975L8z5ckj//iRPz7S/KGq3FJSvrpWvz1634dCjkfTCK2sKkyKyJdw8Uq+mtSkvU+
LlpwXzx7nv6j1t5l8kMGB5toICgsB/6YT5rOB4PLjFKP25ZYQNP7J1p7xqR/PoWXNDiLKEVwcCRj
uN7PA8rZ79AOqkwQO0JEaum9xl4a8DK24iaxVXROC1b1RM2QYZajJofnu2uQFL9OtuNdMp/kpAkp
T+ZAgklqSYtLV26X/lMMbIB0moCJyrBAMxRkVpnb43VsiauWptWCeBqKhy6BAMActEWoayNOY2LR
uRfVcSL4TgqRjJTFfoyuAwwHF273Rs8jENRZ9DQlkb9tF+ONJ5wz+jL31SO5mq09y7PKZC3iB/Ol
EDO3huxRXuF8Wo0ovMDKyq3sRqLBM8K6WYejChqEFTaC6mAyvAXNqoVVIK9NYjNyCb5xT65kLc5i
wAfZmfeYpU5VW8drmDtreKbfHSOdjloSLUK+3J93ZtI+pPxsbwlUpQqYtXo3eenThJLJ1eR5cPhh
Bn1tnTPFPzm18hu7hDaoRVA3kbdYzoBAUa/ELp36rzTr80303HHmrLoG6j2BTEfbSIobJDzPrqPC
ohk2hU3ot7CbteGX33sbU3Dg4v5DDD/5LgTa7LFBh5TUdIyth6IWmOpKZ/cZanO219Rw1UxnRLnW
TU9DOjsHyxOkwJlTmObVRtVIpSeviRGixMkDrrX7xBq/RA69WNzZxXaalA8lQNi3zjv33pnxhsII
WSvEhju/x1aEb8g5IMpXj5ao7q28sfEaWGguMpGoB72IZpZFXV/vMATGt5NLaLvzBHQZPmLmlney
1bQ1dLdLrNu3CZrHPHdf4kLdwBhX636gkstke47b7qCBQtfpk2UMSpi4c+WolI+qu2nb/ntePujQ
2mkNA2vveHWxVkzuNr2xsadxreNZWjWBpa2jaaYGMZsbNepnskApGqDX+L6PbVEtKn9Uq89mUTMy
TPDbTu7yd2eHRtdWbVHrTxC30zV3twMrdWV2WxwRSB19aewa4OOlY7zakYbOwgi+F1lwsfJ5ZesC
jVhzZ/U+i7csrHLzvp0T49MIEEAH65dubOJxHgIXcEUEo35lKjQxFh7C2zmxnDtDzv02DYxkV+JR
/VrbzXACE5/260457l3RWPXRijp1yuzW50ZpEhx8ZXzSWIgckEoMB8KRipfMAtu7pndLz4mZ6Ick
i9u9QpL12HlTDSqi71Cy6+oTUSvw9RpZ3SWuNR48ryw+00d6D7ONhbTQ85yxS+meErcKTvi9XO42
Kbe9YSwyr3m6oEASj3OfTo9gs4djptfiSVAAbZvRRFLT1kH72jNTChsjGUFGB86FpU59pjqQVwTK
1o1jzMOxhyP9yciKgdleNQGgD9BMFG5+aJPAuZ3bKnmz7ImbsyMt6huuPka8aBuCyzzI9IK/W54d
8j9OReQbTETGUb/z/Um/l9bY3EAbN84ir5InZg8BtgCnPfOoeGdLk/qZWqHvVtju0QeI2tsZhVnc
0B/ESFd7dc2KRC//QzFvvY/qf1TrsFQyWTBwC/isDugz/lw750waK6ub44Mfx8VNbbfVeMi6sbsh
gBuhVQTpsTakXCnTGELiRMkgx3S7cQh72KCmfcLWr20LSzW8Bdmy8+6MCpBvqm9Rg3QI19P4Ux8N
gM3gkTl3bqlnp14XN17k4rFvgvmOGTc9feQXFwWUfsWT9OREU7VqKfX3wNjEmuG/s0qU89i2yKaG
QYpbd4jBjUg1RI+1lKZGeppivdt5c1OGSckfvGL4wezO9QhCK2c86+sOt9cEPorQhc0It/4TePsm
DamAqo0zG+UTVGv/E3C6Y1f05EqY0Io9DaR3X64VPp6ahMt103sEKOoFPkZBtJtFrqsSRs93Zd3X
U39O6vYhIi0GO7XeswNxjvAXp/XMGJawGAT8FvzptSczRTI31pfZHk9RW529lNc/TRVS7y7GxEmQ
eTa01OKM01eNdOOvyejIYzlKe6vhvoT26Do3lcrYBwRGsfWSPLuvZzcO6yEWN8MsvV0QYZ8dZobc
wKVc/SxrByHgkHVnUG/BZXD05CnRY/Mcp25zk9P63lcsMu+SHKjKGixQf+Kzns4Aa1P82H1wYSTD
8868qftG+Phor2jrkzdgAOV6aqNp2y5vilreGX95e8zlPRqWN6ro/OGYRJN1k2vldK2btDnbesn9
nHTjTc2cPgS41gFSEDiMKPqJV1je4GB5l8k4nx4jLy8fsZJOF8fg9sFJIJlQcQ7gDw5OakbbVNsV
0pamXJ6Dxn/AllF8xnAzHublXJmXE8ZezhpnOXX65fyZl5MoXc6kQKv1Q45s5VzGLkfWhNf8BSsZ
SdC5CKB/yPhU9HhJxt71X7PCVKc60tiWuLl3lwhixhYK23CiAHG/MoROdhMeZHT7qXvH79ZuhyZ2
1wYa302awnTBbaYWQ0bUkmjSzQEVSs7Eodv6QV4Y8Nu9TG6JgkX6jTXEFWsjtloF3yQR403pZf5a
dxoHqzDT3jk0A8SrCM6DKDuWDMTqF7aNLX2Zk9c9nAor7/dV3I7x2aRtYGrapXa7Gnp/HBC+l0Rz
tE2KO0yPNSxPfpKoOAzU1KCHm52Z+9pxmC209jJYq8usAiXdW7eWNpoXP56c66ThaSwCq9u02K/v
O7Llc0BCkdB35PkUxUZrDRADESsojC01K6jRbegNA8iwq9abE20ziIIKiLEwek2PY/PjXMDCXtOc
G5wtKssCHjGjMeB09uZ93jf8XMrm6kVqhtCX4WLoVL3uzXLfQU/dZl7/1I9nF2sPA1X9wna9vtiE
QtCYadGaGjVZQfKI1ngbBd2TIiopiKdQVLVc4UxlcTdmnzF7y63K5FejtJo1a3VY98q8i/RG3hCg
ZK7drv2Sel+wPwVHZbK+cj1lMibgGrCqxl5lnr7zkgrFnXGfoZoOp8LHaQVNKxGeu45Fq2+GxvZO
vTu5+6KK4Oil1pHUq/sqH7jzUsM6a9z/G32uvxZdpS2fEXp0VRNPk8g7rvOn2ajT744tE+K5EOfJ
oppPGauK1SRZHhm+rsLMaNR3NCg8g4DjawvvW69nYExSL/6fEOXtv9z9L/3av939X17LZfn/F23e
H7t/+wN7LVSPvg2y235XlPweiEuElUfQKxj3AG0Jk7nfpp/OB9bwSAiQGCJBRYT6x/jT+gB5HD2u
znx0YTX9IxkKYOuf2zyX4F0Dw3eABcCAIfPngsFpurLW9DzYZ20q9gpp/zpOgyMGUQvOWwza1Ymn
x5z8mZ0NKGUdJ/P0JLpee4CV9NLGQXPRGh+bbySmk4dl6r4bbRJKBIOX2aCOlywfTURhLJKZ7K+S
Nnq2TV9cALwdujYCNDr4w6nIu3sNczcToSn54mAcRkSflWxMirvMR2mAoA3kAnJihdmiGbg1aUfh
ELDpfwwULcYU9RFTJFVfOLOmJESMx9IrqZCTwlXZpXXu7bUysJ09auDpgb4u+ZjW9VuO2NIL495q
oFSk2efUxEcCuXOf2vZNVpKynSdFfpKw0cPOsklwsZHOshUO7WFRPjuSha0WifuMdCJGgc5eDcxz
pDCId0lxMswt2vmxSfEdJOlHzLkuItGaZkIrlxidTjYr6VjYHNrFoxNgJ9CHeNuaXPYdj0i+oket
73WZfZNOZ4PKjeAaJQoLjKFLmsFO/yyMiWUSoraRtDmy2sCbxw+jnNa9JbWHcfCK61i42q6QTlSG
tR3pV0d6Ps6AWKLqQCBIVoHBGIkmW3KHcZTmFqL/pUJNl2I1MqEH9Q2kb6gd7chGtWCAWdRJrB1a
TvZTPRV9to1mk52wTchHhJY66sdt4mvBaazQq/dmGxE4iBU82aFGHI9YUhuclcHcuOHoQDFaMQsZ
IwLh6gLblrBxrDTW9FyWUzmu/KDzWMh5DVuqkdScAAqbCu56j2ZvJRo7Jmom8ByOSxxTOoGRWfqR
BXJ7mfveZk2OLSRdx0ZEhwh91wh79KL4cYlaxywEQDYox1vHtjrjqvLex+aUdYTWgGYpvI20DQre
oKVwvs+QGid7T01Dc+QJs+I1YSPxHFKimETKyPJ7Vafi5BFdHG96Vbf1jrsRLWaGNubYv9uBpNEu
PiwZXMHXHPxcJ2wJIuMqJk6v13tBno6lU4t51OTWDdq2j0Xn3U3ZEjKT6iaVb7tPeppkp9UvBflb
q8qq7sel7a7th4F0NWXY6iZd2lhBRo4cmnMWk6GVVwc3AcfMhKNciK3kD6/7tuIjMyWUNKHEIdZz
6y5VlvbG4xxWMP/RIdyZPeiVcvKvut4Qki2nFbsKfRsI9Cb8U79b81X0Y9j5fA1A6o9CM7Nrp+uH
2k3SULboE3B+2oxwMpfmFc1OWuSEUmgRU4/uzncVbhCF2Fa2zB8cP95jESyYjyaPwhqTXZ57GReh
Fe+bxfzvuoJcaKVlK0NU3VrNs47GotJebRtDcuPtwNsmLJQruRrJO9qXvs6ovbJCzyb1jKkSjvnI
KKuLnmbu50DFD4QPpWGKuWknIzI1xyHb5naB/dny+vUwRN7X2Z4phwy1MfypO5tmRmogXoKE/MDD
6HgPHH2XOEOXbzXKPOYpXGThbFRWFFtbme6uCVBwIFrYsRj6VsDzZ3eh3uI8urUSWWFnAwpnd/6j
hjjqTfZ+/mWY4+8/TCH/YgVlvm9z/twfslOBk2/qFoRDWB5/Pu7LegKWmRrBXotBHycClFMwF+zo
46l2bhM0xOlamwenRs+Vdxe9mtKPsKWYMWDoZ00iXERPVNMub51bMRLPzHoINvGUt4rnMvUpY4yc
ALN0zNVz1ZbG11FFvM9GK+FXMVTxmhWjN5y7+P/QbE11Ox5zI2HTk2DLbg+t4XBYlHV0okocwdO9
nybYLTlZmvdTBm9xcZoEq+zD0CvPpFBmeZC0bUnfptvaFq1Adt9nGiOootG9Q9vg1muXpsuMEISb
fbzFLTmci6jbygCp+pCmfJqA43Q7kScHIgcu9OSEcizbgNOc1rkZJCS7xsHaLAMAU3SH89ImZhxn
Z7eMnF3TkOkcYPmiKUg7lBXRjo7bPFqD178ZmA2eKNerTWPBEdrkXQM3tcuBEu0y4sIGjFMpHm0G
XWno6lnL083ClP6mNrL8IVWdIU+qYelRZJLemexKiGjwcdhEiTAIYtyNS+/NwoFJBu14WrXZScWG
fTfYZAhiYYzLTxwKHQJ+b946JHqCDYQZywfaZLdjTY5P3DsDjNjs2haVeXT1tAwrXGLGhVlgjsF6
KS37X8rMniiis0DSeEpoFW4JnNR2HtIlnCKjtgOu1N9FGkLuyovjr1GT8rZOaTN8Vg6nF+5c85ad
Bmp/ZrRhZRhf7CIy9vrUCeazDvI9U7R3BbOGVeqYu0KAeKZTOHLbtejktJFuFKy3O7XgaZMO5KMZ
pjQkQA7Uue6dj0k8Txt+ci8F2VMEBacR/5KARZyfjCuzNh5F0FdEA0371l5yIwuQ9pP1LdYNuXUb
7SsZUuiSStvY1Ul/tKCkJga5o6Zx6kT0EsVW6DfJAQjTF0QNgFCCG30cmWoOg7Od5uGbSCbjBjDW
G2ospB9DbYeGp7dbf9L8PRT9V8fvumOybKI6N0++qSCQx9H1u6vA63ToOpROWZ36KyFyfzeO3ddF
SbwuHevbaDPl1VCprFG0ETZspOnJzrRPM4lIO6F046ZsggtOQLW2iILblKWmQsszqq3V19G6GRC0
jE4LqqYeUNZgjA/4sHMi1za9z+gTwFlVd/1lro0WRY1SO8+umU5O5gO+y+lSGEYK7clkVmIoYoI7
g7g44F5XEo07EF7xxgrG9KAt0qSYGUNBapnHZjRwTIlXobDfyKfF3DMY9Xdk/GQA5G61tYe5YoMJ
ldcS5mL9ceIws/Js18gp44Zd7EJQWXEOuZMyX7x3P9HYYi1KnbTHGWvr2BXTLPuevDuRRIRJMRvi
fuFLTV2901o88RvgJgJlFHd0u9zW+fvFXb9f4qRfcaFbHq7xvf9+0Y/vl/78XgDUcUQxML0XBvZ7
keAu9QLDof5/3dY/6bboTv5+q3Z5ixPWaur1L/otvvB3rbXHKcIKzKB1QtLMr/zSb/nBBzQFsFcZ
WXu//spv/Zb7ARkIGEhCSVwLOcgPchPnA9BwZlAoo5GOLdzGfyA3MZf+8Ue5BVprdNsLYNf1bf4w
+6cLGPFY7zvMCvZt0Nrx3mxyEhxhKk8tUus0+TblRXFkejDVB/QRw4NtKD/euNLI5i18TuupydjJ
lb1L5Gvt5iOVWKpxszqyn5qd0BLraamUL5GU+q3QNKe/s5wS6ZUHyBsgjG1nwR7Xmw+pXflNfda1
ajrACoB+48S8JH7UM813PK58+LdL8WNoj4ExNCd/8IaPgLULgpv9YGPoRb5uSv9e5x7BKqbfKMXF
HwC2g+Xfje3XpmhquUb2KhqGTXF81jPSI5kEG/PZSSjzQ2kzAYabBu9zLsTeG1qQEmZq7iPHJxrW
mS0AHYoG0sbYyFE2xTAhlHuViRU8+lXg76SRS5zzRbDOlBhXFl7rjQXgncVdQPuYuLSQiFSex8qX
A/7qqfbgrFT3BhNCdAV1qshJRmikU9JFKWrXUo7XhnNQwSHk/D43aQ+lIPLHkWAXWVB9BiX4p7Cj
J6jDWEOiCFYAI9I2NlSHaGMMNOM6G06gbtsYa9fVsHVGPLPeRO0+z7Q2YtfmG/Nh0Hs3O0ajDKyw
yiJj3AyD68xbCt7iI0G+jXP1RQvDxphZLiHeBaLHssrM1cqau3HYRm437rxeT77pVR17a1GLYFe2
g/HsRBIaSazH8QJg/x6ApBg02dyZpW+eq1bVDK51ba+hePnoueTrJHp0B/+Toq6RPff8JFg8tTIU
qkmvzLmZ/+sEVVaA1OHUOLrcdXbZfbPE6O0rTFrpLgXIYIRFpTdhjqL2kYknSbwKh70KBTEhDwR3
qjN55RBEpxQGU9cXDz1JvSEqiILIjZIyP7aqo+7RW5MfEW/01D8yNKfVm435MSpTYzs2lXN0kVKv
kkzbpaUBzMcf1nnVdQ/KJo83MdzuVqPR28pcxmLVgwBe2UWrgERUiSfw8/H/7yoEkme26JQRGRtn
hfD33DYUOisjs9NHntbhhJHNgFBvIl+FZptmBxXnsibDfghZ9+KSq+PhEI8yvw2oez71fLb0cFUE
syQ2J7wESk4T0RCalCGrDoLThfc8pam4NqrageQoNk0AHUpkpKc5piY3re/VD2KIO4aMQ8bPffEH
ZXHzyQuQfmN6Hi51r96qYYDrVitT4AyM+j15g9nWBQ2Zf6w16T7ICm8j+4jc+1yrHl+eLlz7IItR
Yxs7DbgdULS6mjlsnLEZtnrTNrs58CSUH6dYCwOYXTFhnLdBBO2LQDvqonc5YcR0cR19+BjpHeLY
Li7u4sBqjl2dlfTCSQDfo8GHK8eo/4WG+j+xyX8lNlmw1n9/LYav4rV8V2QSdvyvV+Pyxb8KMRe5
pYlNDh8KE8QfrkZP/8CV+INGkyngb1cjjjgL+YePMhD0Pta3P0aRaDRdi1vTQdhoEIJl/5OrMWCm
+ePNuEDfLThw4P2ZevoMI//cmtatRvRLadjApNLvg+feeK2zq93gMYs4rjDXbwqFaGTEfYFb/spy
7BPrnt0QfE4kmjlDi0/Izp/zwd2RfbQ1NMLsz4T9HHsJUtCDAReNFzJSnxv4XfnSA87OLptbLCTr
KkE5VtQno127g791JV9Lbl2RtXu7KQ65a13d1rlxXGsnG/tqRwbJGSuTIEQ87FtVB6TnNA++Vj/M
gLIirls7ocMQ+qrov8zFg4ph2Ip550zu1rPlxav9A3u9s1HbN6U9PdcW6Qp9ecfrtakpugvBwAhV
HzuIx5k4W9wP9mPnQhCQ2a2IbEKZksVO7bT7OUKAwOzx2sfe3gJWBFtt/Ny3waPutx8zmx8Zuoid
FbkHXOobxphftR5JC6IVmxPohyfvLwYMPyM6f/kQPR2FBIJfnpqfxskK8nmXwD0kmBNGH/eJgHMT
y+bWUerWa4l3SRJMPrO30QgZBi70y0Hxt4zQn3no74Je3XN1BFUoqxiR//kpYlNMWWCm0YaCfa4R
wvlDu510dnCjchxsSuatHeXubojmO+B3z2OZWmckyNpBuKhovNWbsvp2OyN4JRveSreeEYlNVM3n
qWj3Q7MIF3ymnjoGEzEjELWdQoS7UrJxwm9FHK0sNpIwNqLgXa6cyAE0ZJ2aieDAhKJqM3TmVyUj
tZLTfB30dDd3KAR4916sxjxhNLv42XAqm6Q5Vk0dn94/oH90kF7Sr23VVd/7d2zt7xjb97L2j//6
29+1/F2//7b/T9i3HBk+grh/u6xZJ8lr36fdv/iG//jiX85JH6DtIi9fDiT2iOD1f28h9A+QcZet
DTMPtiXLr/x2TtofDJ3DdVGS60QNLervX+2ahscKCGGG79oGX+ohsP8HLQQT/58OStdf0m/pSHxz
Qdf/rI9mmzHm/G/iJKkScwsWt11DhDWxVwQlGSVWPXfZBlw/lekYR4jbPG8hptkTU/xV7/YEtaAv
PJfUzpCzqprIwEg0lENe8ZCnUnt0FtFqPFXjnSvK5NQKT2cj4Xhi18Gj2HgWB3JXdsm30fJnlEKc
UAkhG4TLRZNbPBOlUcARI5LnFBulzWyOQSUhspG6ulMlTHwfD/FgqfVMQp0Qg78yR2alQ9q2p8Sn
bJ+4HswtA0JWptEU9z2xp0qTu9KUDbMtxRBjKGb9IXLS4qM1TfFDZVYlkzN2Nzi14osqCDTByDXO
XxjPOLCIbA/0Jz5eaUqw3kZ+cDIzILSRhEiQOwbx1hnBpXdT1yEtn/NsUxLLvSrN6RRDP90YIiGT
0mopxjFUsrMC4T1XrvHFT31cgGU1QEnq/TQ/g1PNv0g3YOqWx0XwLa60+Mmkylz4GAFAutTTTOat
5liGPYX0JrBye6VbTCAJwzSPGR8AHtzKXtMdjKepap9ViqYr9MwphRzSlRNTwFKv1vPUlJvEnnMr
tGhvL4Mrs9e0tMWbbkZ4B9tR1dqqKUcsZXqgID0GnE84EJAPw8UhooJ5ZTyt3TLuVzQyVcGNJmPg
EDKAnFbWn5Iu6vq1IMUCXMSUVg1LCWLXW61KPlIxgw0lcSvZWx1/j6GscgzzVvrBOo8x/QI+bqFB
VaQ1w/EkqGPPPmn4hu9PJlvLrCbgblqw8wYPHY4Zuwq+y1DBrLP8vN4UPNZPvW2Zd3ma2efIHbrH
pEyq15jIqAx4BXOuE1eehT+BhNyvjXDUpy5IKiOEioUwJ8ja+rMxMElezcYSFp5lZftgMAW4s20D
uPxcy+Cc0TnciaRpmpVfJoa5Dia/vdK1Tc+dzZwNs5iuvZEJ4eBIM4z2o+3l4osL03znT9x2GNYC
+diVpQXLpReIP9oe7MQeXShOq1FLSnzEeD8JK8VBS4sOREjK58CV9b3TV/PBQorAe5s3e0Qm2sjE
10XAoCP1DYG0Tc060s38S8zLtXxpxD1mt0XR7PW0y9qNzdSQ7QOilALPGwIRu5j0l5jF1MelSVJ4
mqt5EQ7xAfpDxXdtKd9h3tAQ3tvpbCZXXsO2Ze6SDuCt+xYV5vxJxtPGAPWHOMj6Wo0B9gc9z9ov
jjcJHIeGPX2aWM6GzZCgodc6+Yhfsz4nvhXtc5bdx1IUEodr3PPLXkqbo6buZe48TL5x1xNHRUIm
i94elqQ+A1VBoluvS1WX2xxlFpsRP9oTBQBISc1M7UgeHCVsyNpKQG00hKjMphc9ByYD8bJHDUcM
QeCuNYO7daX+j7oz240cSbP0EzFBGhcjb52+yyW51pB0Qyg27pvRuD59f1Rlo7Jzegqo7psZoC4q
kJmhCHfS7F/O+Y5WTRvS+rXbZKnI3nSW1LTCcpzKeifw7ZVMBdr0V9Y3ycsik+TGzK083qGAgdBr
sAl7M3hRyNpEitxv8rbt30s7SxSviGZnmKcLr/ZSuu21mZls70HAMkQul2baWnBqNhroA8Cu3uvv
2jafwfNXdX3SZde9dauBFKHZz7wcMsavinN6KArG6EG+ev56gxEoTqAXU4uMUA3CPTdBMg3fnChW
FztKkncLXR4DGLdcdr3AqMsDi7okpMwy2Y+0i/zRAWY5xpR5Zps6TehX0CG4SlDwxFnR/nSMGDUM
A1H0dZUex9u0Z1AaBm48uww1MpKfjK73k5CZcM0I2m09eWSjnfibLoste5ubQfdrdjqMEeMkN/XS
cMs4JK2rUrXnyEsr5k7aWBer5Dpsy7HI9UF0dpcca9JP907qaeCAS4WeEL54nG6swnORC/Q2xhGW
t+zYeTTb3xMZtojFgNNYXdeBR1smDqegqJ4qg9eNIIcUrufYtu+p7AgJwQbpP+hGiVemDhEvXZuL
i5nU4iVQQ/tGTJJ/9rMiZnYgNdEDfhPb9w2JJfce8qqXdkaSxrHh8fhICJo2db0FWaZLh9tZapDH
zuTEr4zCTIDcoG5+my05xzf8CRMblzo4PJA/s/+uJwTaXFCiu+W9dctj5AicLWp0vWfOJnUZyiC7
G6Na7HFBEdMXCYxFk6HAFhVGaiRhsRTW3mjrFBV4JL/NmTluCtzm93kWmCGTITDBY51eqb+rMFks
i1LWq9k8Je1rzwb3pQnsZmuBPW5MaT9rCGfXnKDDbZ9n9rF1S/O5NWvjl8hI0NqIWPTbxq7tE9Za
LLUJUQ/PpRnLq6zT57o2jWtUz6TdAwtqN6AN86uRoSiMnQaS04hjChdVAANvl5oVkaaajy0JZ5mt
NrECtSxPQmE3n8CfIxS4fYwoUuYIOJd6BOgMqEDHlA5DMS4/igQSkAEaQoVVXyf3tVd0l7KBjAvn
L/0ABfwO6GQ5TH0wHaIUyZ30yvQz6mf8uP6YP/pQgg84f5cjEMZq3wKyYE3hC+MfWbBzn8D5Fl0n
1K10y/KjSAYWzb4lJlxFRY70slIms5a44XDpUPWccHbp53bBalQZKkHhYaqdXj3PJaHo6SZnnY2l
3LEPDgdQCK9qeHa5Wh7ge6MO6EbA/IBncejWLLA+Fysbb/2O1eKOEyE5DXWU3MXmIJ5Mp2+usB+y
AR8Xyk4oAd6T7SbEOhfOynHrbHHI/Mm/mxcz1jcVpqZ0E5hJcetlpJ40cxC993OeP2qJdFy1hS25
lSklaG8bzMlWu4rIrFkZDaKeviqu6USy4cZFsc39XaJiU51OYaQ79fxNLISFwKJqrnlDaCXplbJN
Nwgk7E9voGgG7hsnr57TJYolql8bSGFAMThxhhgCNQP7T8ZtsP7Tfh5PASGkNUSOzPs2kAb5Akhw
eCRuvD3ovLTuR5GINtRuh4anNzgeyA2KD15Z6Pd4zusHhVkgwFTXE8nYmu2Nl+S8qwvryYucbUBk
jC2H0ECM+0ABi6KmDYbkLbE0UvFiHAATkF9gP5vZ1H6D8NZcgy6DMuCp5c7vvXjYcG0509ZtFd+o
UulSbuZS/qwdh0Eb8YbznTFE1TloKvOglgA7gBq1gd9Zej+WxdcW+WvO/KnhvbEGLytj58zN8D0T
BUYSdJQ908gEjRU63och11b/j78lSsEqRIs/vAeDfLYxo25GQmy+8XLazqZNq+bqr5ySpC1f3Lx4
BLybIjmMu0tQJhjp7IgdKd4ZVM2lG8ShMZNwXdlsJTZR5AXfWOJxgxADGdO1OoS0bGjZ7dfMi9pL
QPLTY1DX3iPcuuaW5qW4dPFcvBmQFrLQKzv/B/zz5ABihZyjiVDGO/wiAzzxQk8ffjqb87me7GHG
o2gN+TmpBLFfXhzPR43X9EdUxHDUKhMfTgU5iyS4Rq7bd+UHLCljnP/cXL8Mq/N+xXGk+t2Q5WhT
+4W5xdYr+a6RgNmpOIg6SF+GoBN7oy6yt8UwlkczKKHvDWiTuduS4dXKg+QRrWZxVw39cl1SW/+y
vy5fFWVrMtyCxGKMo8c5mbvvU+13t7ICSK/G4cZq49hDCzF4n0mdthN6Hz/BTxSR4hUKD4rLsAj7
3s+xPxLMB7QwSWdkSF2xclXNyslz0gYykoCHtuPQaGvEWOws3TcztlpsTq1mcW2mCgy/aTY/HKMF
Tl4rKG9ELT2k5dh+A2oJuK1F9VuggnslCAAd7MS+4xQMfaf31jgh0ykrHYO0dRbjRAizeRQSX3Cu
7NnauPMKhKVJLkCq6f6SJnbZHHLP1+xYLfJCaAnSo6dGcWwms82JPwfEbbkJdeg8AMRJ+qpptnaz
AmIyWBuEkknIfAjgunNZZlgZB4xKxVZEVn3tmEUfe3wCVDdgyQ+u2WVH361Q5KCrEo9A8JzjaHnV
d79eyo+1y9b8BLsstr1jG09mr/ordG/1LZ/wzOSWXVKqcuGH4HqWsMEhwD8ZTEoMQ9Q3nTk3lzqI
4X4g9K2jsC7q7LOsC5UckSbF93Ap+CvkOYwe3ocse+iD8rfSjC95XeCDw/y5GipdMSBFX4dqcd2b
mC39QPyvYULki4LHSWTLzvEX4WDB7L0cQOJAQQJsm/CS1PXF1lscZ2V3eM2x060ZDm6VGrSmCbPy
QqSle1S646uhjDfLYL5B4c/0kRvpM2XL54VVGnXRBnQSEU6VJfFl4QSJkCS4RFUto87WvZmHRkFB
UqRny70dLJnkphPwdhSc3p+lb3kA8KZSr2Vk2exknyg/RKafnoKcumyK8/o2Vl8IJ7JhAZdK86V0
156CvWMBR4JbPDR9S907PVrk0tPREaNfdRxy2Z2qfk5agsbKCZGmJ8xDmXn1yWiHiImin2JS9pbi
FhVlK062UjipZD/B9hzkyOrr3x9VPdcl//ufzan+Oqb6/4qA9+c8is3w/33o/6JJF/jMVxDefxn5
//O//XOWZf1hIqeFIEbwnbeOrP5zliXlH660EYJZK3fsL+Jj2/rDYeCP7dOx4RR464r6P8Fj/h/8
gzWb9WuBvv5X/8Yky5N/n2RZpKCS5ASkZB2QMXH7r8PaJEIfyZZbHBDOlcVBgh4gWASMFy2rdD+7
ORIP1kwx3Ta5GRK2zuzDzGePwtnhUBxdOV5IJ0qhRlEhE3jShknz0i8VypYBWw7xy9vEY4AvKYG/
J2mvT2aW2qsANzZSYlUJsd4AaoETPpd+HvoyhWZWWMBLdbvcC8bpKMgcfcyqnj8Fq4FkA+V7wms6
IiZu1K+YIUuoqWax1pcpxtbA8u9M3aeXmJHubhYZ5azs230pgKQ4ukx3nc78m8y24PIkiwpbsjMO
gKWDnxlQz3Lj0rxDoIicQz335pOky7nPG6898M3IbWlPJLw5elzOMDPFll6s24tFVmQVoXZKN4mA
pEpsM3EWcZEdSh/R7iYe5nwME2eA++P2/sNYZPHWa5v6OvhO890k/fLOyWFxLd6HDszbpU6RRTnF
kd0D6afyZnHnh8Qg0tV1+is+/1sqDbWdHKn3tmKE7cXqBDR3gm5keAXSH6Ns2MpPo94meeQ9ayam
2FSKITK3WNrJn8xuVD75MLdLZxvRQTB/WdnkSTmz19CBIrek6kX9SU03w3xW0UeQTe4pW/zmunQW
h/giDO+5QNB5Vtncwe80zFvwEFDNTG0TL+DrHHfIOurzykkeh66VR9CIw8vA1sDaNKhtS+LpERXZ
hnWB12icaoH6q7M1gX65K9jre6Lb9NUov43onW8qQZIOfjNsLETwzDs4GOnP1BvVzuSpPDJ8wgda
u0l1MGu3+hig/9xLgMSbAmrWd9XU79qf5XsQLPJAaZw/ltRuV1oJ75VA9GLT4Ge5YHaTF4xWMc5G
L9mqbrqgWogvgzlVe9XaxjEwx/wA1Es8cEHTAkw4iZFy5zzRbk7ogxX1dwyz8tticpiUFjnxQIRI
WZcZv+O8ca1MvmpJxR12ASaTuk3npymNp1M5dtaVIq53drHbDJ+2649nliUO3p8uwz+96I+xjMZL
RO9+hKZiP3embyTsPOoR+1CmPgpKSxXm2dK1Ibm3bnsXmDlkimgsDbUly6rboNg2drk9wgyMRiLh
iXqfsPQZ/JjK9cbrgLr31akNyqXO4Kto8wm0UBdDDd1Ug13fUPa3oQ0k7SwzqEAGhPZ7jgucTnkq
0rssoXHxF6e4jnrRlwGnxZWbntGcgOX9FCy1dXZy3a0+Aqv+AZ0xvjf1TOKXsDIBZb0lcmZCr7ex
LWncgHpq6XKtsbb4oVV2LwBV3UbDkl87NUI6jKZqpwuLMB3fmY5SjpKmxhibB78Zo3sf/dwlKZmn
DA1JVJsOoNkeKgcVIdCp9CKyiEyDevYuVtJNNyYRUQfTFvpSmc14mzBl/XAbOmPqNSqRUMwvDV7H
IHQp/p8tVYrvlljqQzQikEFMoZ5cNL7b1GG6nJIYfcD5zrs1j2V+F8XF+OD31vTAJmzERl8rHTaB
lHT2wAalPhqtqQDvDQm25sgkx9Udzloa7dXygvKautJ9bQ1vJM/KrH+NNo34BkAGap3FN55Q5Yn7
oRPuqxW1BjpYwi5v9Ej1DYI7Q1VL5kdb2fbvirgRZJ9j8+rWprU1mkm9pkmPYw7Jot4UJEjsbNSF
+wybFfyXPNmbXTIikY47mOyKBtnA1vnkyDLaJ4mvjQ2E4flU55V9ict0Ocyl5x78QPvsktWyja2M
pCvVB2908ESsd6J/RI69RiUhxsELKN/S0SoPZaySPZaz9k54gEFQp65hSyh7cOmUHzj6g4/AL8tr
7w3pgV0KvdjC4iDHGbgrB2UzaDCkOFGpEZ0KN9oJ3SJPzjk155kRTAsFxlcnZ7HKawOkJASg90Oo
yWcC352bBBWG5FYjBO6jsZd2wlMoH+MW20I5zSc/kfFzmxXDr6ozCdpS9nTQas0kk71orZ03L3SK
ZpEQ1aYcvNTGbHsx8n67uTTS0OHiAE5TPfaQwkfxw1yZsC/SZBGQuRvHflMkc7iM5G+tejiWMcp/
mca3jKXUkaN6Z80082UGsggTJxMQxa7cmoqq2SmlyYmwTNcuzrmtO3TlPliFJOsr4keSnihBnRUn
FC3r38WKq52asJ0i2P5gncbJ3NcSN95oT4zqTeA0qltm+gSx7EQ7uvsqKIdH2wAPscPsFhwnq8FI
C7SCan4KNiMotIUBRVH23ZVBTPO96e2crato1mVQeZ4aPh7Mvi5DLdIgl6lxblGf2SjQI6ZkXTXf
WKM4aHtZjt4wLSxzRfFGd/qTqp3fNvpMJtkdxxIJgV8ZR1IXGJHEYevW0SmwnJrAQsN+JLOsPztZ
bT4R30FejzKI+UhkhWGJDJbe3riJ6WzZLFhQIFOBRd80fk+R8s4WeMlX3o/2gienP9rLuluO+/pn
qQm79EWDcUQ0y6dKSOU2k+q6UoFXbMWyi4cyeuILKPlMcVVt2hz7vi9mvXO6NrmzYgyn/Is2c/cJ
ObO51FeCW8wLUv3ybYRZuRvI+yDA3BhIyxoFFAzhaUZ2ASSv36Vh22EECY7xRe5g7bQVRJvYH9Md
LAnPOXhVmpwqpzKY5eQxVI7JIVQHjZHJELnySCEKqvqR+iKtbouYcNetUQKh3HAMhMnJ7FC2bUXb
ZuN9ME3qjGitANtkp79KThyyRxxvDIupZfRse+mLTR+6yyh3YdJZ1nMnB/ASAkYQv5b2sSRufG9n
AghgnaICDNaJuC/So1mmpKBLVi5M4+4NdkwVdkt+YHdS9VRvexh7G9+caIopLWjg8zhU3Tj9HNNp
+j024if9n/qQxfDpNYPJxMyJ6/vAiL0jiVYkBMo0DavaHi/SVkAiGnO4WRyhtnXEmFB2xCWNBddT
Z/b22W79Z7GMeMXFmCOENvxtRPTNNumkhaSsi0Glu9U+6fr0Jquq8V5bkXGIaoxcjMr0YXQtD78O
XmuP4fBPVjngwhRCmCpZbL6GvnxO3dq7TW0/vppI0cliG/TeICKOHKnCe4rlukuouDrDTCzZ1nV0
AfFkCOLzbMhh30mGDAqkx3eLJfMOUUt0LVPmM+ZYy1BxROE3zty7vk7z0CgiqIetEW+jwsbwO/oV
2ZYM5t3dUuDVdXPGfaFIR7lLIjPZZ1pGMdXViN4iqJ0b6asBzu3kHMvJs54iHSQ71ZhQWPEPHN3Z
yQ/5PFqvDPJqmBudfcy9YTylRVRf5Vgw+Og9NplrCGH65qZKH9sxxy1HTOl2EkwGnLSSGxIBnFcu
OjpuT/l0B6knds7o5+fUKv2jjMgR6+Om+u1XuX/rdW7xMhDADYawMnc4SMhqzWH2B+3s7JE1mqdq
aKytk0cBV80Mw5BqwAYjUE2XztQPTEP21KnAQeSSoQxS3wwSlFE3JXfDbLxj+k82dlzDMKnQiHi+
IqWipmlpPNmFjTCncwOva6ciaCqbyUlHRCNsW2jijXrDg8FErdTF+GjmbBRMZ3EB4+uIvwHrGFCp
0fkvneV/I+oR/4eo5u992t9ENQYszmw00+TIno8d2RrEZgyBZEnsp3vhkj0PyNJ4aQMxPfuWFbzN
/tDci2SJb/xZtO8RObjsKinw4XOK+JD0c/M82cGyN10DvajM2ROpwLhWgxIJL21KppPDNwC1y6GU
MCKRvjlgig2KmopcK6GrA0sBZ8f8+sYnSPpH7NXx1jammtDbojvikHjt2w4UqG7cXQRT4U30Pb5s
C2gdyRfYX9a1ZpW77p1TkEoPvVO52xIrK2gQKT+o1OODK8iDYmD/WQ/utdeosalQNkQl5JhuxLx1
l2R+GPrqQgTBcsHyJKnAialgf6sYx+bQ2j2klGrh2I6V+1PolhGU4ayL0bmkKNwNhlV/W0RZkOqT
+jlHbOINl0jK+ZSwubdZBQjvoa674b4rlgwBJ8cBlIVc/MJBk/5somXA0GlgUmRM/VgvOTokaHKb
BRGauavnwbtxdG8cXQHqtcuWuiURDIwPdG1z+jV001uXLC1LTDfdO6os8Fu1xZ54JDb+LA02tlpS
xOSuP0BBUlpuepc1VV8P3Q4Zd3q/5BU3NLPfc0T/ek1h9WKlIkHkkRc9OE3BNJ5E7QBtYFEBFm7u
fmOqoRQsx3F6TsrRRe1AvTCGfkuKXuhbRk36HnX28FVyF1/lt1grcW5hivKsGbsdH6TYm/TyxcYc
CZaz10oeKgJnk7/W99ZXpQ+rmunrWv+Phq8vwdoT5Gt3UKx9Ql8MAgRpbPj3XTZahNoH3XO5Nhjq
q9dAFs0XpNYWxP7qRvq1MWGWNl7Lr24lWhuXUSVc1t4oQqLNiJ23yYLZxQlCt+Cr5fG/2h9Lqqo5
6lZOUAc86zwpF1Wz0xAzo3IeXETzxMm7lvxkw4AlD7v1RlSDvjroxg6zD/aKQ4x+a2mXpwZww7Yw
mkdDpOmxMfjAbNCSj4iSnbBOqZSNuUPpU1MKn+VErNKQ0KQ5KsIP02c9+aM+ZRhcCB2Qemha35Ca
u2EPD+wa+KN8bfkOZgKaaRnztXmEhUkfiQIgv01yzaSAJtOpsiwcvzpP76sLDdaGtEE7fGjXJrVf
21VU0gjo6WCbtZWFGMbXvra3/CHXRpeWV63Nb7G2wSiN2N6trbFrxP575bTvE0ua797aQPdrK72s
TXW1ttdEyNBpL2vTnaztd7A24vNXT16s7Xm5Nupo+MWNXpv3aW3j9VdHD20iguFIm7+sDX/GIV1G
AFU0dKcSv+k6GcjXIUG/jgvcdXAgdB9s//WJ6vxd62o5wgwcy2OEutoxv1z5f8GOdgGiH/KBjMOs
fedcMb3VIvKJLiO/TAjqdJRf7tV0VsEBthARugT2HgYhrfcOnEcVKqx1P+ehH89l4cw3hm/homWa
90ZhUL/afnPp06rb9WawNBRP46MqNfBeEKQ532lmr8yqOT+CSu9oBXTGGtqLDXnufFwPOz3zp7ID
MVBZRUv1qaB4tNw5HsGiy3qQ5V9nGhx9zrfl66xzvs69ZD0Cg/Uw/Ncf2Be36J++Ven84waimBbr
mEu6f9OVBorVlANJ7IA+6Gl5s9/aT+OtfRzvugfQZ9W9Udz965/o/A2MsP5EywQJawGo5aiUf/uJ
IwMWhuNpdEBiE30vQKxoTCzZfJdP6SJCKunmRs0twngrzpPvlrvoHc76/DfWj4nowjmN9lU2or4T
kop6t0Q2d7ioGxAiC9kz3wCaec/wIbjqvKqGEZA70scAns+K7NC6vUDvIlgW++aJSobziXHKxpNQ
jKYFVyDlJ8OGMtsXjtXuZzACN37tLh+IwAg3x8V8GlrXP5CAbryU6aguSKHyB7Zc8Y0oeosMcQri
pyTwFhT7aUaowjiN22xK1SuBCuv5VYri29eH+m+pT/83I/3/B6Wn66NpgiMG1shTQvTzvyaGXD5/
MrX/68j+v/0N/hzeI7Bn2g4G1wsc23ZXRuM/vGxS/OHyeK4nh8P/WfHIf+pQbfmHia2bgC2GaX9S
Rf6c3ttrDIn0Ua4i2mcDS5n3b0zvfXe1qv3znUSkCM8ZqfdXtfiXw8spNMnhuU6OxSjL9YzHEc2t
jDkaVFu7erCq5UYalX/obdWh4HHlGYtVwh7V0whfmrVbr/zZLbdyKuh8DQaWXeDPr2guAqaACEUa
oqhLoAEpc61H6Ivdg8xNZwplVnId2JIJdcsINzZU2AxWtOtsExJ5l7Ui/o7B2GgQVtTOLdMo+4yU
cPwcorn63iS5i4nfyZpDXVYAlRY3pU4rho58rXH2vA98QjQadh1M82E2tckEuSiG9gSpJzJCTC4O
GcxYi9tz5nvpA24yNw4xEbTPLuChp96XE2K0HowFeFbvXcx5eZ0mazbCaRA5soEM8/pezKhEYcQm
5nubzaA2AsYb7COgtz1OVUoEnssR/SNzjekcZKVztqBJPLqGW+3W2viJkrv/BqfDvWL4Kx9liaDd
0E5wxMOwHNZJ8Y4ATRldBhwLjDlc6pKYEGTknYa/H3DZESEh+uRHME58j0bREfVXCG/ghsjH5aYx
PPv3CF7tiaTY5Vc6lljrID6379jwnfugn3FjJF0WqbB0svhFOgVGxL4v9TUhwuwOvBNhJsGEw2LT
x/NwyAvmy7gUhvFFWp7xCumLapCsBvOFgSTJFIFHQPsupZIABpGI75k1tigtfKCVQufEfZkxOs3K
owFCr1zKXdlEAVuUXF/wahNZ2NqwfSUTpu7kkIIIwsSq9EfJVJxUbqfvfsVlND27Qw38rnM0OE3m
hn4oici9JYuCOBHCKIpiqwOHfIs264J7tvtFy12YsXVygwHexmwUdXo7LnLCOD+3tbPLBrRo+9JZ
5K8qY+m9Zf/gRiGOqGbZea0gVsAIyqzeaBc5KgVo8mauoXSIliZ0cu4EsYS3BvQFEtFyPLqV7GlQ
IjX1YUpVw+c3MCIIgRNUjHXZ8j+6YO4Un74Xv5XoiH6nWSPnsypE9ItViz6SXdhbP8Bjm8zgKDaH
g11GC4/UhOCU+FwW6FfchdalDwi2QaFVQLEYx+5H7yUTZK+mr7ZmWvLrTnTGxTJS8iOHHp+NUy9L
dtXJ4GEknSK2MeNcvrQ6dn7OSP3eWT5HzL3Y3TW02EhFiYdx95lp5A6q0Wo8NQnwLAaDnkQTZpBP
sGXYWsA+q3MNIyeI+/0csOvfJMvs/woG5YF77gKUkbJw2dRNWj6YfdSdQFF07O7LfnoyiqD7Hii3
+5ZliXlHPi98AyQTGMqTiUDGRgXDA0H23bdRue4G8gobhIUrcyjYS+4mP1szb4Zo2JUi0IQE1gkC
1aYq+CxAmhI9kw3NNzh2+U1l5W6y8zKvszcZU3hsuDGyVCuyoRXxVCLSY0aClMKF7Tlk0tt5XT38
ALCB7tfKiHsO9bzo2wIt3iOKuQRiaFQ3EXno83Qgxcc9WE1hnohAQj4r+BrfVZAvP7XRkQYktDnf
4sQzbnuZxLcB80ZmiLUjH8eySZ+GwWDJXwyedTJHbzk6pN88pv5I40gLyQxyrAwCV/rqbfVB7oYF
FXYHS+hZ9xw5aH3jZZ/ljFQ2btCkO0RYiOsWx88+KNTr+6xQ7q5r44Bssmk6EeGy/Oxnm/ifOUF0
fcjzGtWRN8x897DKE1g9Y9y8Q7zP36UVCzJLbIsEEneSasMZrl/4dqZhY0KpuEdoTJxlQbDI2XCn
sduMKOSCQ+0zWYhSAxeASQ3b8Kxm9Xc6dRaKTs9D2Jo9IaHYi7IPq3aaN7cdx2DTtmqVsveOdvcO
06GEEKIMuZiW9LIH0ZjNa5fB1XgUPoJUvhKbQyc2mc/bBt3XTZLNDNhxRloLSdJ65Qs3M3lSohht
56TMuUM22jbqNl4IPt2MVTDnWxmL4E61svg+JXHyOzFUvW06M32OheqwtxaYkjfEtIBEbqMMiWdc
yx0J1oBwYwgJR6eC+rQ1akLLnaGdGBCBTTn344Du1B2KEnJHres70neISiWcB0yOH03XsWntZWuQ
nHQYysQ8WcA5QXf2hRNOJYXovrXt7GIriymKqLWN2c1ODgP501SRMXnQHatD1Q3LZc6aBmpfWZGe
2jpgwFqvzL7LNq/QRdo345SOAPYLoDQb2vn2oall980u2BDSpJh2GM/axcudw9nb1AyLQGrJ+sxr
49bfSjZTCLF1d5QeJSmTDG8zW8U7iwhE/N5qdsvbgDTNKijOiT3SnLK4aXNMwpFrIjFeKs4h1zgo
69H2pwdhAR70TQQxBbcBFzUKzaIqsJss9TpZifwQd7J+rKJ++O1w+RxIFmH0GkCChgOzXdAzH5cR
nJDQXfdiT6599HNX8uoWpHlp33J+AVAkp5qVdXDtLRQBRGD3wLyY0J+tiHm7N6c9SwYLTLsNFRtq
dZpNl8VuWd3FtQkLJmID63KQ77KxQrFrTXE9hw4DDkJUPCvKw4Tpz6HL5iAj173NT0uKMZ28g+I8
8ahdfF9nN0uQOjd90gOyB0XXvQU8Z+grK/+HhzqionVw2nunLPxHpmXymGldkWTTRMh6J0P8JJRY
bKPOqh7aDJRYWyypsytzMKemq5sXs8KANvZ8/TWZ029lkuOQHkW+sLTzYnNjyUzeVYjrfxBShjdR
ITsOPaWb1WBIwoBukcaipv0xxVZz9eAW3FZs4zHW51l817md3Nm1TBha41fYGEVja2ouIT/KxQaZ
WvfF9OI5KfBKdyzjX1HSJtgbDejXfSOh3ZS8hZux0RYXKG6g98GZ5U4O0EANxybJvTWj+F0SR485
Ih2mD8NLjI+8dwDbZDrDV4mc+5D4jbxHsWqfGUblv/nzqiv8pfl7sPQpeLhm7ijPUtjMm0H5Gpzc
CL0u60Y32yJP98XGw7344MfK3+NVGV8XWvq9bKvyMxAepUbTYSnf6C5iqRopXalQtHZ84KsaL1Yc
a06HNFIPKRvClvLFg2Onl4KTChOMLmBpJypll2309aHXSB1OcEXMGJwmZqp9YSXWXdc0zjchR4JP
RcfYY08A1wBhXfmo2VMklTdpLJeSBPep01uIAopkL/If7JDdIEEO0Tyq91GnKtsqZi91mC5FdMsU
HBCWS1t/4gkJFsTLqf6ME8mlxsTPeswHyecP69Uhw6fMekB+ZfHqOEn7CMCuyzeKfugxm51gO1gD
+lNhypu0c/17ixXQr9Rq/WLDU1CJHfduxQEoyKeHv67cJ5aiKYrxmZJgM6ouqQhPWgi6twxamCuM
jAEL/+A6R1mIuobp7TQwEEidBZbAVTHcirRrIuxNZRyHU1DLg2dp/7EoRNNul2D0l00dFM7vrDQC
QPVAGV4C15hRoRvmT98v+v5Yjws3ec76rKdYZdmyaft2arBXZRiQOp0gmSni3wJdzaNemNDNQWOl
e2pM9MGOn+4WWauH3md7oxjwXayKKN/9TNWWbZ2JaCyy2X3OqT73QZZ10WcwtuLRrCgxdlS9gRGq
MnCL3dR47J5Yzxu/wRIu1Gi9OjEJw1CwADzYG1E17ZS0eU0c7mWU1xO4+TYz6087aBtxzYa42EUD
20p+NV1rs0CGXDX1SJhyo8ir4qkSIR6/5BoxbDvZuU/qulmyXpg99k50QKIFUI8oYwglv2X8kqUO
fyaL7fFrM0q/27ZEh/yumZw+4pmDpgDDmylk1BLzmBkLkRkwqZSaWI/a6j+YO7fltJEgDL8K5Yu9
WihJ6ERtJVUhYBt77WCb3ezmhpJBqzMCHTg9/X4SiCAbHMdyquAuAbdmWjM9PX34/6SrDqkOoHcJ
D7C9sqAKsyZJ0k3XsJHBOOMpbUWwpobt16Nrb7mGPHwpkn2tJxSur2RAYC8gMNOWN7SC1wcgliFF
t2OlZxEh4UrGnTPL16bDK1Bbo9HKb+E0r4Gsv+fkntKVBnn4NezLE5L7gjcl1Rc2LwTaWsBhhL2N
DrNl14qkWVeVbG8JnIm27skubWWQu6XdVlift9NVnN4waPmKHjThH/yAWZcKSzqUYE6rs2n8sK0t
hmvqvggd0tpnUQ3geul9KKcET4ImESMonwmbUajr3NHn5HfFaYsAmqK3lGshkHCnFG/YldThI35q
60JgT3bDNCGw3mpZ36QoSB5XAln1dh0SkY61krxvVhxqd9ZaJGjH7cC9WoR1/2JdDwLQ9JPlAO7J
PnXAIJ5TB3BHOox9KS0JlQ5VZXmlz+aLS3nqW9eqOvXQu+pAMAdjNN3xjnIReoL0dRat6fEInVDN
PPSgeW4LAikLbVMIb7l4s54jPCqYmEsHtxSU46Ub31CGAKf3HEq5NJpDayPVHTfpWM213wtp+HDa
pGDDAQQB+jkunNpX1aX8IK/DZk9T43o/jGlPWFBpTHWtC6DnrD61Fm0sr9RTLV3vasu5PWDrDf+1
VYmGU32YTjGPFuH/OJ3TbeVPAD2jgcwGxN5W+yC+qBDQ6zrMkU1V8G6UejO9tKmJvnWkNWVnQ6LX
XyJ/ZpHDEcDopzFR6w0DawVleuomDxSSO3/BYzPvE2ZTRuxdsS/aUcuc0Sh3Du35MGir0ooWv/pC
Jn6ehHj1ouf26JZyIWUT6DgQ5sQyggR7RYeVBDSdHsBBPUntTjoJAhBlZkHba9UhBJ2qU9Kn8vK6
7jNZT0NIG8ApWigTK1S7CpnVrxFHnc3TSM4IAl1YDthaD0PJ1weJncIiukrJjkI4sFDPZ55LiL8p
LW9CiLWJK+K5KJ8hK5wMxEAEKUSeu/1Qlv7TuAxyKgP0F3eWtF38SYhVA0BBjrpzz9Mn9xSQLf5W
OZR5l+tZqJ+n8zAZewRiP//O5dyfDidN/7K5gh8n8aPlsiOobkgP18oGW58jJaUe0hXiXwMG8gtI
r7eBzo6RGN0cQ/guNaPVvQlCUbJjHcu+7YfOJBmEb/tREZQ7LKi2j6c14r6WZCOwILnajyrike7F
u3eS8vG+JME3EidJx+aHM4loITWOhPdoeM8/ZzWA363t11orA/+QAerQhfxDbS/lynsaOqaDl6e3
UebLvylNwBgHIBGCFhQ5o2RfBYxNIlFdqqHOx/RcCU9kfFeC2GrIChTLxF53s9xXgkrTv96CPW2r
IuKwp6UEUArIl8hQrFXSg6Q3YIimYoYa8uJt7+tBa1DGTXpCETeK2Oj9hBYDjIHq5uXQFmCZ4Qs7
4vhioJZeVEVByFi692evgxehZShxG/yJE5o22TL5lYbg6LQltQEsuKKq9ArkH5KZ+7MHkJzlD/PU
9t2f3B7QgHCVmoy62haQwGSXwPUgdXtoC4gN+FYElX1wolsAn1h8CpDy0/YQNHuyopJ8RAnYQzKW
MDdmWIp8NmvvhDYE+xfSUMZXcTWA6cK5lyFCPrEFrYYg0DnTUrZHAl+f1onQhDB+M6i3W0JMAvlO
aiEwhgf2gi40MBeZ93Cqy4CUqlj1OJAwfEpmFjkW80/ZLupao6UR71AB/fnZvfCKDbNzN2nH98e5
o+mY8SF/9NgPCh/r+fdb/6o3/nCW+ZGlH2aAdZtnf/dDP5bOjtwH3Puy8Anz52z/fDvB548uPauY
VfGfl44ZGdEIHtrc+d4O89YIcFc/TcY2xMT9yBibsb3vB9LzlqHDHuf82B0LL8qPYyMoxGSaydLf
xb+zWX04K2lhz768JLbt2EZUiMnEUlXDOqo62ksjWhkToxCUv0m6dXDLKkt2AmMEDO9BTQO4hqdZ
9RFXBphPtd+MYPpH7dqgOtopaYjTJTtXqj7l2ogm3NS8spI2Z2Rl2axT/4lgOaveqCr4T8OLbWO8
MM1pISx/t1mlR/Efb1+MN8bYXh3eQ1klSfUHfBk7DL+Qk+8iAPve4WX203E6ss0oWpWEq80MoLCq
0vvpxDUeCzn5qKkZfYdR3xuuQRTZKN3cty571UE/OJ7nlAxWUwA3rpjF2xfJwAgcv3ZrjNNCVqaR
7f2q6qjztuZDpmXrtVSV/9WMk1rbnEDPWxr9xh2oKv3GwJhjsJKotMa3gYiq0i9SF+mlEMfuZlNZ
dlgacSaX0tRCRW9fLJzKO3TaW2cUPhpRrRdn1MhxITxbPVwZRDG7qFadx6conRw/nsg2UHL7HobS
WYdR2R1ANH0grXc4YQcRidzyCtoKf4fd2zHGeEnonx0MEGbt0pibvlMoPnsX+bOaYFRWfhk/YMGu
6JC9zL1WVfgPqAYqiu+Yvv1U6dswXdUd0Nntt+No0BVH/zlDnXCewahuIo3vsG5eA9RacQqvgM+o
+IQrjoKj8BzvcB8ZmFhR66mP/z26UXUdvbZQuaKaDtujGudG7ehKBr6ccCOQbJKcoY4rYJr/yFgd
um/ukhXPb6FFEuLQn5Wv2NkvRr5pRB//BwAA//8=</cx:binary>
              </cx:geoCache>
            </cx:geography>
          </cx:layoutPr>
        </cx:series>
      </cx:plotAreaRegion>
    </cx:plotArea>
  </cx:chart>
  <cx:spPr>
    <a:effectLst>
      <a:outerShdw blurRad="50800" dist="50800" dir="5400000" algn="ctr" rotWithShape="0">
        <a:schemeClr val="bg1"/>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size">
        <cx:f>_xlchart.v1.15</cx:f>
      </cx:numDim>
    </cx:data>
  </cx:chartData>
  <cx:chart>
    <cx:plotArea>
      <cx:plotAreaRegion>
        <cx:series layoutId="treemap" uniqueId="{F472D779-3ED7-442C-A4E2-FF22C2B31599}">
          <cx:tx>
            <cx:txData>
              <cx:f>_xlchart.v1.14</cx:f>
              <cx:v>Sum of SalesAmount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plotArea>
      <cx:plotAreaRegion>
        <cx:plotSurface>
          <cx:spPr>
            <a:solidFill>
              <a:schemeClr val="accent2">
                <a:lumMod val="75000"/>
              </a:schemeClr>
            </a:solidFill>
            <a:ln>
              <a:noFill/>
            </a:ln>
            <a:effectLst>
              <a:outerShdw blurRad="50800" dist="50800" dir="5400000" algn="ctr" rotWithShape="0">
                <a:srgbClr val="00B050"/>
              </a:outerShdw>
            </a:effectLst>
          </cx:spPr>
        </cx:plotSurface>
        <cx:series layoutId="regionMap" uniqueId="{8222E42B-947A-4181-B1C0-2723A0CF8301}">
          <cx:tx>
            <cx:txData>
              <cx:f>_xlchart.v5.18</cx:f>
              <cx:v>Sum of SalesAmount</cx:v>
            </cx:txData>
          </cx:tx>
          <cx:spPr>
            <a:effectLst>
              <a:outerShdw blurRad="50800" dist="50800" dir="5400000" sx="90000" sy="90000" algn="ctr" rotWithShape="0">
                <a:schemeClr val="tx2"/>
              </a:outerShdw>
            </a:effectLst>
          </cx:spPr>
          <cx:dataLabels>
            <cx:visibility seriesName="0" categoryName="1" value="1"/>
            <cx:separator>
</cx:separator>
          </cx:dataLabels>
          <cx:dataId val="0"/>
          <cx:layoutPr>
            <cx:geography cultureLanguage="en-US" cultureRegion="IN" attribution="Powered by Bing">
              <cx:geoCache provider="{E9337A44-BEBE-4D9F-B70C-5C5E7DAFC167}">
                <cx:binary>1HpZb904tu5fKeT5yiXOZKPrAIfao+fYzvgiOE5CUQMlSpRE6dfftV2p6iSd6q6D0xe4tRPY2NZE
cXGt9Q38+1P821P96bH/KTa1G/72FH95UYTQ/e3nn4en4lPzOJw19qlvh/ZzOHtqm5/bz5/t06ef
P/aPs3XmZ5wi+vNT8diHT/HFf/0d7mY+tZft02OwrXs5fuqXu0/DWIfhXxz74aGfHj821m3sEHr7
FNAvLzaf6sK++OmTCzYsD0v36ZcX35zy4qefv7/RPz30pxrGFcaPcC2WZ5wSolLO0+cPevFT3Trz
5bAQZwgxKiRD6vnDf3v09WMDl//b0TyP5fHjx/7TMMC7PP/+/bJvBg5/vXzx01M7unCaLQMT98uL
o/toH1/8ZIc2+/VA1p5Gfbx+fs2fv53n//r7d3+AF//uL1+F4vtZ+neH/ikS+7F87B/DbxPyH4gF
PuMKcyQo/mEs0BlTIuUQkB/G4k+M58fR+P3C7+KxP/9LxePusXwcQvHo/oMR4WdMUsY5+hIR/G12
kDNJFeSO+pId7LdH/5odf2pEP47JV5d+F5W7v1ZUrh6hKj4OReghj/9TVQupM8pwKglTP8wUfoZS
qQiG4Dx/vovLnxzTjyPzzcXfxebq8JfKmIvH3j2Gx+o/GRl6JlBKMf2DGgaR4UIhBi3n+UN+WxS/
ZsyfGtGP4/LVpd9F5eK//1JRefhUPzrz6P6TURFnMk05U0h+W8DUWZoqqGHsS6bA4V9z9Ndw/Kmh
/DgcX136XTge9n+tcDw2tv7p+vHj+Nvc/O87PUJnKeIoTeV38ZBnNBUpTpn47WFfAvGnBvEHkfjq
2u9DATjqL4S4XoUACP22f/z4aSh+m6D/fTQwP1OYMABWvzaTFH2TJDI9AwRAGJY/rll/elQ/Ds93
l38XoVe3f6kIvfk0hJ/0Jyhf9X8wPgCz2AmEAU15/nyLwqQ4UwKngtMvKOy7nvInx/Tj6Hxz8Xex
eaP/v47NjxP7awj2zRn/U+KIz04pIaj4wkbUN0kj1BnhhCLJoPGcPpBTX3eWL8Tuj0fz43B8ueyb
gf8/Zol/zCB/59UbAFHbZ0L+FYn810efXw80gu8u/VcI+de5On785QVK4R/n0Dt+5/qn+3wzwf/d
j+4RFIn6+3r57Q0+AWX65YUSZxQxrABRY2D6jEC0ZkhlOAKkkypABwwhgaQAJO3aPhSgHJwwuOJw
NsapogJDyxra8fkQP+MslUzB7QQnXODfNZHbtl5M636fnC/ff3Jjc9taF4ZfXhAE+d39et5psEKm
UHgF45QSjCUTCEbXPT3egfACp6P/403TLRYX07G31pSHcR2qGzGwMWxIPoZFxzjW5QGEnW7UouuL
oK10o9+0osDHRNJyCwSvP66FY/wKpVUc9RQt/BzIYN+ttlNeGxmXfps0vTlfW652jvU43fZzSsx1
y1hjDwldune8Tgu3aZF1vV4dMlxXphnkFsMbvB5mQ3coiDnVspu26TLjHoZCP3TrUlXb3FM+6KR1
od44bOSarbOaXyo0lvYQ235aMxzTBR98LPt936wT0cnkJnlLsJ9yTbuuabKFIXPlUkJfhjl2ua78
JKhG5dyxzCd+sJrIJv1c2LRdt95IFTaUJvTOFTmt9ypvzFtPazzupcyXJ8KTcNuVdb4ZYuPGTJbd
PGrS0+mxKId4ZJI1g246bt/RhA+HPqeyyeY2TV/GmfebucH8iFBwmjhKuZalw1wTNOcPgePlLZqN
DNqtOA8ap609QEkZy4ysfcU1XcqGbbtBkCvcoPlqjmtyQZpa7P1K7XpNbDOie9y3BOmeLt7sqOqI
ejMF54+LLwa0rVXqx2x1Bvv9ElHS1ro2oKUd/TCw9Eae5qXa+pUMalfWopAPQ7GktQ59X+qcd91b
PJBqOyzTabKKI6xvlwXXzVu4Db0givqDrGSz3KAYnckaUUzoxghpJp2IMGflXPoNyp3XdEzjXbDp
53Lxy9ZVFc7mAefHNhmnLOlyrHuP8C4fhyWblny9VkIUuiGW6WWlYWcrtDhtWGRWGz7TDVGjuJ9U
PM5dgrpMJLk6T+qx2dIyvx9Kaa5JPb3BHSmzirvLHtZHJhX7iJrm6Kb+OEfj9kmdNns2KJxFV9ot
WYO7Mpi4cw7L5q4hXXLkcaqyklCYOu/lvqEN0qrtzkfuLwuT0IxLWuk1l1cUpcOVpC3Sbmr8ZV3M
AqJKi490Guq9pK55YwNz1xOp2GGccJkZ1S46UcWo2TSYm0p2Ykvqsb0TPW2vexeHjFZs3a6gfJU6
Fmn+ytTxvgqd10uozHEZ51V7IfrzjhdEW9XmGxFJomlbfmhRSe59i6qdcWbKhMH5juc13VI3VxpR
hfSUq8yiMF75mq9e50Xqt+XCxoe66G6nrt9PMV1nPTJUZX1ZhJu8qIeMrUvoM2bJhjWlbhneT77P
zDLd0RTVOhXJvXPdp3G0t9WMgmY5qrZ1CCFz5SBuQoAsMzIZNwUc0T5W7i2glw6KEXmgE6z/pUk0
a/KPNSr2aHTqNlnX9FNfWljpbXfRcTFqNPOgU5W0uq/iZ+HCxdgUaebnBCLfkSZLmmpNdI6MXusx
aJOzfp+TOtHEBrFbl3a4LItEaDc0ddbgNmazEFbXC1vfJjDuXVnm67aoqd8TUs5Xsqhwmslkvq9Y
e89DXp7XrBGZSutph+debCWNdFuR6F72gx22SNRGd7xZr9dQjXSzNJEdCpQTXU3JNG54iUmaUerM
Zql9Muk0x8trW4ZWLySfr5Wqui2vRLVVBWNPwfefO0/IJh2lP488J7sCzWobELUZr6bmlqmFaxMG
fB5rUn1oO+d2KSsTePmZuVsaUrOpp1QeYCVAJQxJOmzZ4uWbWWHzsaum2QKo+72r/qA7cQbw8tvu
xIBaU8JOxI0KRei33alte1+URVocJR6msMnR3PAN+ALLzeAa8mpuA4Ua19pqMxO/Ntr1k3twPlm2
fVGjj6Pxqrxc2hmhbRXYekgwz1Pdn6KftRJBm5rTWXRZIXLpt3i0TaqdRMWRjY2cbyKt+1631Tq/
Hjip7haROlLrSvGJXXR2lVfrOla3hSygRPkuH3RaEhKygMPwISE44ZoV/E01LG02uWohWoiEMZ16
uLvOBZ+vVF4Nx3kWy36E+n6xmiTu6qLGeiVTPLAo1LlapllLPK6a1K2BtM/Da1Um3YbPSan7UVkY
41T3WQAcolHCyp2I0LeCbKVu6dplfFbrcpC8T9pGT2ie6r1AmFsdZTod+nRhzaWgVm5Vz41Oxyn5
JIVYzocB02NtWr9mPU2Tu6ri3Ta2gd00y0BuB1KYez8v25X01c7ajmnk1rHUU4nam0Y1LJNjIm9Y
4OyNSzqymYj0Wah9tyuCG7RJl7Dt0iLsiJH3BZMuG9h7Vy4XkwqPbUD7sehKjYeUXnflh2nq71SC
5GWLCpSxZO03siyHuyKtVFa0MHGANzI3ph7qykyTg0tH+4g8w9umplGPYjoPibvD82ivi7wptEoJ
v51scRA0Z0doK1WWBl6/7kXX5npgxB9XMfJaL90wbTuTJ1o1vXtbLnHYpLj7EOeCZX1PlWarcgcE
a/PGC4/urWFPoqXxri0g88g8jtdDYIPZJbIYkkyuLF+PckTUnLvJKPexXmj3tqa8HbWshKJ7RSd2
3a3dhKEoMxbfqDWicaOatHtcMK/ehbyh6z3LE+xgfMIvGVfGv0PEFNeyC+TaFo5/mMtc6KqbRrI1
jCQfpqIabNbwac4cCmyvktRuRCGmDDclvyckCU+kxkpXWDX32MWx2ApTrXtWyymr/ciuRCz6q7Ed
1ZTlACTfs0aau5QGelWXUG+8n6HPj7PZcBrtlvNEPviKIk0t4Y+AaisB7SQadJhTX5/b2ScYoomK
VA91Ut3Nzs9zJmVH7DbtK5tmVd2EMqMAOIYtFLvO76oYu42BitXp2K+jz4Z8MddNMAqmE5fQ9sW6
bpFL/N3Sls0baC3009jy8QDQK2AokS3NSOfLVlclbiARRnfoFrVC9ZNWxu08Iveas7K6qpaKXLe0
me5MqdTbcSDowTY02fk+N3drUgHkIWnv7mEY1QNaV4iut9CaVlqn51zO00XhKWszJgdxWVT15LJe
ebbleTtscY/fLZ2z54VAc6nTpSrf1cGKt0s+f566MUkzhKbpgFK3w4uF1jWzku2raonve7L0hc7j
6As9OAlOa1pM96ir6ds8Ct5BRKe802bA0morpvUwyYa8XyufbqApJe94sOWdRbl67AYfHxCN7rLk
hFQ6OjwALnGIHWiZTvWWpjU2GrXVuLNk5U8jp+WhS8bgtySuOG7ZWI3QV1tr5ozGsLxPZZ9cz2nX
EO3ykiiNXV5dJLT0V3QU8yZd8fQxbfrVQs4N8g1yaR90qXBCLtoKG2AaODVv8Tgvua67aJusS/qe
6wDN4p3s++aezbI6znlOMmq8yeQw0mQz0NypjClAYnqe1HAORW8YN+kyxXrT5r5ZNIszfh9Et1SH
SOfiw1K2OM+avJ6uunIN2uO86XVdiWG9kICxU9RV5mKJUF52ZA7ioykCuswtH8+LEvfVXhC8vg59
gbstCmg4MBOTV25gxW3gTn5oIwr3EwIKFU9LEshTFWtYBAaSsGlLCynvYY1kvXH8cp06dLQEKeA/
sZmNDsE0tZaUmtvA1PoQUpvcLGWEYi/SgkIVX+vkcxipK/XQYFXrYUjZ9aosB7pQk+nKr258txaE
fDDJsAw7WPL+0xJMdUSe51XWWm/eumiN2lWFMMcR+MZnbKdpUzSm9tsmWIc23oq4zZOpmnRfVv41
asp1zhIXm22dpLLV0ETnrarkUgA6GGK1qYo1XAx9qW5Kmas7mB93PQcEqJMP/bvGz2grc+Lcpgfw
0mXR+u5dE9rgdSPD2Gd5YtkWmTkee5rMe9JABdiUjKEyK0UL67HsYntDaWdvRovNwSdkkHqmhhx6
Z9mQ1aKeoiZlFXBWWCrajeuDel07ixrNWvEKJWj5ADyGtLqMllLt3cIXWAq2v+6XuKDMBhVvl35+
Czbm/ZQE/9BM3tvtGF17M9Zp2t5OVSwO04rZI18TAYeWOlxbg+PRs7nadhEPb0dPhs/RpLLZJHMr
79s0NvcrLc3rZa6hE1WTKI5N3xRTtgpZXBiHXLUDIJxcmVZhthu7xB0LUyYZsqR41U8cny+OhP68
snVa7tWYTEC1ezlfO1X0N0LGSdeFX++4baJmgg5HwSf5DjymeN8D3IobFJP8CFSJmx2KpD46wJv9
Lvil2awjrM4M46UVNx7VCyQQKCfZKqdln/qZPE6L64+jT9vrFFVRz0osjaY9nRXwyQ4QWDH0g9HK
J/E26edG25rNT4KY8NF0dbLosZRNv7HjdEKsUCcegc5OegQKLzLMuN9MLsEgQLBZACwql9dmLmuk
YYqV1Up1JXDprpiHTTNVAH89JPaSmWklm0RIfyzXMTxQVpdoQ/PYAjSriTN7k8yLRoj6K5nQuK89
J3qUY3zbtSSvbpqk4bCG+1Pd7Gy6kA3Uc3LhQwzNbVf1gAImYMJ2Hz1dAF+IdtW1AlS0dAVut8R2
MyzmWq2688E8rf1KLgYpq3QrfVwjoAdTmU3Ty/5iKGufajLny3I+11NijlKovtjmtF3edwpgWzqW
zavolf/Eqlke00S5N4xVxWvlpnHRE07n/Zwm6NgiGvacx/G4uEJma+LGzxWaF2DEhJZlZhtXx8wP
ctosKB92IbJkDy3Jb1S1AI9LgYw1WADNNyCm6MYI9kSFGUbNVcceVoXqrcNAIo3i58JOdLfUNdm6
Qa33U1zS6xrUmQ1OqlarfIhLZmPZ3g1c5U/t2mFtWe/v6zQu0LOHYdyNbUiALwZi71YQpXZDLOo3
VCXTdV3R+NB2wh2BOg4loNk2vbFilhvluvxqqFN2PkHCPywBoH+f1MvBiGizxUb3uZXC3TDcswdY
9oCES3qO7ECOEeXhrQkTvWg4Wi/EiuKhYGQ8jqZwugnE7XHl9SDYPWDy/uUsor8ojaGXxUjaQ8Ut
f5dC5D7kpDQZcCC2myztN/mKqstudPZ2EEsGMhXVxdA0Rs8YdIYhx+azpMWrPCb1gbJu2/Q12QO2
m7MWeOZ2Iay/DF14p6bV7X01zHtVqH5btL7aSK4Anq7yjYKCdeWKbj6ywT4hIfKTWlFtSV92OhAG
eACP57jI7YGbUF/kssSb4AqbGRTr9yWZ3dVKfa0VAYoA3WE4tBUNh1CWYpMEWe7gfYadsJRsWrVX
LTTPf03jUPpPLI5KkqYUXASKEOInlveVxphA+XUzFJIjniwG2HlCaZK05rqbHZ0zBktoyQQXSHcj
6XbVMorj3JA8/ruBENhS9R2fFBxRdtJW4ReRp5F+NZJ+zH1skIjHpef7chrCh0KReX3ZTVQNN1I6
xG+rtBJkW6/NfDctLfA/LsuAtssE+V3Q6fUcMQOdbMG92TWlAv2MFKzxj5ytgm7okLA3PuD6Vqkc
Zp6T+q30yQqyxEmQa+YJfRAuOpdhYI1vQP5IdjEEco+nOXnqixyA9yjNK5GSUejCG/s2WEI1lDh6
pVILooCc0jeyN7BQbBFf+paXcgNKrNoua1pdUNgusiFLSwBIEHMzt32bBdmHOyGa5SKJkVyNtYF2
6Fi9I7F+i0mbvgzYnIsZyQyfREtxki+7ZyVzigEqZJJUuNiC5MruumfZ0zxLoAI2knzunoVRTL34
KCSXt5FV/d1qVvSGk9R77StA+bo+AfYY2Ig3xkh7sGMdX6mCwDqtn9E9ekb66hn1x2cGYKdqeWKu
h9qZTvKmfOYJKLTkkEfoaGHwCu/JM50ANYk/2tXWmlVKHpMcvzJsGY9d7M0myWHiq3VhOilVK3Ry
4izTM32RJybTnDgNP7EbeeI5eRFDsZUr9OeyXZQu0QyM6MSN5IklFcVsN33XsD32PWiUJ0U0g2qS
fKifSVY88a3yxLzUiYPhExtbEpC3fVoARQMtB+hapwq83nM2VO8YrrtHJtZ03LglkPim5h4mibU1
uw4r8Mv9TDlo4SCkd2/7vOPuY1Lw0W4LNprPgYytB5/zX8ku+Fn0/8YUEKkAVwIz2OUDPhMGN+Tr
NBkdLydSQDuxgLWuuiSay3a2fjP0pDq6JpVHL/tmzvKxzbexb29k3eaXRWxtqxM+x3MejAc1bU3M
BhQA12nXVPMdsJ7WbSjopG/7ZuombSzx93T2k+5wSUEDtPOWi3jT1PnNXM8D0c2MpkskmxDAUIj5
k0sC2XHb8SMvfPUSKxZB0uflOeHoviPFjcP5raojujS5GUEBzncoNfeQ4+Q6bdYrIGYq4wlNJ6h4
KUs06HUjtGwv+aGwnk06cACo0DvSw9SJ+pbzMr0lLZrotqXMPCDB3d5MpdqaOCZGt6SdQXtbquEa
iou/lf0QdwMgmbBhoC3PGuqqmrYs1tX56tPGZyPqOUiGvHMfxTj4E2AeAUiycIvVNLxezZxvWlJO
GWVrvVE+To1GtcjfFeAqvItsaVw2N22/y0NV7G3jkwq6LhXgWZRhV4rFHJxkkHKUzxzer+dRL005
fWxypaB9jWm+Bybs7CYOaik3Be4bp8U4qQNP+/xlPqniQ4Novg/C2G2eu+QugjICSoGVOlo2ndel
nDOcWnQN0uIKqxJAZ12qeFGpInmvXN1t4XYhQ4l0d5UtJQadt/Ov0iWHDDBE6mkOoJmBk1Ps+DhC
S1vZtFuED+8mjOxDUgz4tS8bd8jTNS2ydvJQmuJcvlyHYDZ9Q8kFgyqVUSHCtgWvYTubQtyKApWv
XDpUUEULha2WMDPnlqS0BhLD88ulWtM9F0UKea1Kctk17b1Sc7ebahAo+HMnWouBvuRJb67mNdYN
yDvpmOuSuCBvXZWPRHcnEwk9+0koxHHN8mefKT1ZTj2oumtmupMTlQ81uFLKLmW15Q5/QM+ulQL/
Cj87WQNhZDfiWbyun50uh5OE6dbOwD4tVG+3gerWvTOg7tkDoRyZ67XrULo99bGPdJxjD+wbSw9A
ANy2sp3mUXd9hJ/ADAi/svPYH/t6LbfzzNDRYx8AV3sK5HpUK0hNQZVVeSglHxZwSkbPNr1F7QUZ
CeAJ/6zpxpO8WzH01suOSR3MQ6XsW9ufEgSX4AwJe+7zdT3GSYldh9rxNOphx8BovYgFWERD0rJD
Vy3D478uVGCQftvNBQJgAUWKppwgQk/e5lfdPAVlvgJJVByVYddG3fiqv+yml88P+WI9f1Ghf/VM
n9pu6S1w9+++/tfVb/vTn/c8/37as9H8j28PbQP/vz/l9KDfz4Ebf3nwyVT+5ss/mdx/YGP/utn9
Dw7+OY+bYM5hLn/vCf9kcD98ta3pH9b4l8t+tbVh5w4sTiIklFgJ29wI9IhfbW3BzzBKsYJ9PSef
moh/+NqInFGVnnaaEAXOtWQQsS++tjxLAS3AVRRSlp02zf9PfG3YIPH1yjhZBVgq+MHgaTjF37na
vSdy5JH3W2u6W5Q3E+An/x6qhsl60HeSUJ3TIa6HcaiKf2danAz9bx4OuzIE7AfEMCfgt8OLfrss
Y4LSEkyFeovqZD3kgZssCcWS9XEA1DKKAJZSiS/tMBX7sUvtZWhR+uQWZbaqi0WzLQIdZgD/a7ye
QDQEfSeyC9cDfewB6Jz7Xjlt+0FdETvIzdgvU3vI+WoWqJbdJu878XJSKauuukbazHP+QAqiThYe
3FCsbacBV6Ab8BrrdDPy4crYpgKFsAJThIV1V3PSge9WD+Ra0DV5QKmH8gBC3vqyXwy+xHJIHsRK
I7iXrbqZiVnB2CD0ylSp29skWV6V1tOtF3kNnTSuuqj5uMdLyi5UNak9szYeV0opyWKfJFZjUSTV
gQqPLwXzfNj0iR3nY+JZC+Q7T3y3p4Lke2OB+/dJzkGzKhb5Xua0JFmFO3xHFDJdNjQqnNQnmLWB
LIdlKofLYPrkMFe+aF42xEyfmnxJ3zk6AL0EBOCWLAWPu8sUnue3szFFpRM5N/eODG9Gn7DtlGOg
YjhcSEcvFEgyB1P2w2Hqpd2XPnnPx1RdpSONfFOP0et6HEasq6oc7QUvSQyHtYnxeuz8CsGqqotJ
xmZfF7zaY2nkmJVetpcOC3ws6tgcyFTMD4a0oOnkIKLbflx3wyCT7TpCuAdUpY+14yl0lG7IMyWa
uK8SBZaMny9VZc2u6vruiiTVvsWCOc3mYtEiGSTYE0O5VZA5DKD4iC4BbxVd1px8yL6c827XJTWE
H7ZH7NTY0SN48VGDCqN2E8XrhodxeMMNkm9EVaUglXawpg27kMgTPZzWeTC2zjxsabkCaVo9TLy1
umhgM8k8gNZNUnBNWAOSgja+iBoiODwIvNbgnrC+updmUGgzMc5Qmy0qGYpN1XoEe0kGO78v5UjQ
ruMSpzDFqfObapgsZAuaWbWj69qA2jljOu0aCxscpBPkg6N5uEuJs4UWZaj3i5PL/Uxy8Wk1uL8X
86BgD+GAwRAvxuR9aXG8tGNDH0jFU7SJbfTimhaVarYuTi1Q/onl8w4lid9zxUBamVNrjI6VN+0R
PPX5Q7dE0HOnEuPLskc9ei/lsOxXwZYMIDe0arXy8sMQ+/p2bspq481YPwwWs4Nr/f9l7tra60aV
7C/SfBIgIb3um3yLYydOnORFX5JOJITuCCH062ft9JnTNhPHc3ia124HsYEqiqpVa10qpC0v0sb8
3OZg2LW4yk+yo/Rn2fPhL7Gq+sKWsXgzSl1dbtMsAY8YNiAbRrrcImMwXIexGGDUSDh/SAzJvtcF
LS6DPtkOQdwE+04ZU+1L1cYXeJYBXiEipd5sEfJOlnbTIy2Q7m20iW4BcYm/FtvSnbTpxU/01kRH
05nuXRcsSF+aLPralltyF+lN481UYAnXVH0o6qrPm0WFN/Natp+qOh4/9iiKfuBpxi4rhfTgMNi5
OMRykWavtTT5oFTT7SRyVGovChFN3xtBuvK6olMJgEzdpOwDwdvCoN48F5+mrciL2lY/kfhP+AWz
oUapp4r77YKYYEPhU9QWQWF/Qiaa2l0Wb216qPW0hvsyHLsS+X+UulUUZNNhrRfxFSdttahSVBYO
iWciPAQC3hg5vancV7IvUFEdjO1QNQFERPORZ0jc2PZqozZSp5FJ4ATSgKSXxZhGX+Igzu70tC2X
Y8iLR0XJVBzqAA/8Q90ZESCmXmA2iwiKr1ViG45UWGauSxubj7pG/vOyIJMoDmMtt/torAGaiGi1
HItSrF+7eh1uUWpAnb5q0+y4BPazNUFHDrbEwnRLA/wE0ig/xsIul2rr8W7nZNHHUOsu3dnFIgRM
8Ij4hMO/lUdAodZyb6zMkJsq5r4GXmO04W40S4LqBEJytUeVZ5Y7Zobo8zosKOPOlYxOAEx0bJdo
BO1BZxQ7cjmwx5YN4adRlKjqIAn3XWik3inbskM2b9MpbEr11qxJ9peiG1LH45rVOY3nsNtFyVZs
+2YreqQh1yXe488EMq/j1iOc5vShsGtSIbsPo0dZex4vbD1hAgBqyHLXVpspdiaqZxS8ZA0IiFQS
z4JNo5tiV21WNHkvbTfvihLFfeQ56LaeUok3Wt4mfRrsyPneQbjZf8TVUwBVgQSZ3vfrMnyQYt6u
JeoYJ2wZXl91Op+YbNYb1Pxx4aF8m6Gmz+erpV9Uh6w7iqgo7LTd3VgovY8ZzGEIUPaMpI3vUKqs
qmPWcvq2XpbkNgLKYF+OpLtpUWeAN92q6zYbTV5JjdI+kip1t08ThsIOIFrVuyDKouRgkB8FUmcx
4dnQAwQJ80SOJVoS/qotoHZ7bUW2AryQqZ+TDdO32yZpj1LbGpxUWCISyvq5+tSyhR3SsJ/vkb3N
6Zysd5WJsnebNOVH1IdRSSeW7wu8gdodctyAynWo61dIVd+oqqzeKq5gtkgbsQ9NPy7fFyskbEZM
Z/hSadddVCXhtk9DimQ3i6c36VbdWNYdm2nBhaxHlbOwHxBBkOphWWtzu2wD/nHFRnlL+iC6a0RD
b9kaJcvO8EC8Q7os3FngUa6rAtiDtgWmoW/e6aACbqzfIiQ5k5MI8XpCAPudLUF8AJzurbRluGst
EvusHvA9/MPktBQtv5p70+ebTMi+HYbqxAZq1Bltl96Zqs9qFKsi2h4kYaTf4a3ZozyZpp9wy+F9
3eNQIQ5CIPSzXart1qphbS5TEaDuQlBL3WkqWI1CJCZ0SaqWTTsiWbgTSk8/tN3SOWepmL/rtJrs
qZ2Xpdot0zBccKT3b2SDavZuTBvgGuqW2xiuNQZwIovawlx2IgE6wpQbojXZ6u49A5DvWtl503u8
Z1WKkC/GfThooR8BPiCPZgwbVPNTQGXOoQpqqYmO212Ypkwc6zFMvm+D5PdsKszHaENIuR8XIa/K
FJgooFoQfR0nFfYfABtV6xFAEthTa7PsblTDdivDCWiSjrOHGni6i5CQ+i0tk/TTquQU7oFeaPqD
TJN1uCxQbJOYdIKZLHDgA2AtDd7rI5KHPzJJRHVCQQ2lY2pq+z6mcVztELETtu9sHcYXITCdNxrg
NwACyr6/qep2+Il8BT5T1hEqX9gXBr+qqqnZRwmDExOLidXNNCKx9LZrGUAdUxnobt+0CwCKrAxs
8bYM17Q71GWEXR/shgWq8dhtDhIBcXyKbUXeL1MxBVe64GV4rBdClqssGZf0FEUSQUffZFd64U2K
sCdcEQGf8UaRZfJqKOpMIVoj6cOwGfKIHETyCKOul6uITfS6jar1ZoPTkXDpkn+wQ7F012sikScJ
gZEwqAYDXXxIRTYhZB3W4XrrmuBrGoxiPRTBxpHECRFGIU3bAeFB8HJYTnOYoI6KPcmmq8oWxWPT
LPXHyTaLuNmqOUkv49mUl00/6VM1jcGPMKqLK1lESb8Lcatc2tXAFfdpVX+ihoUVXgnB/IjdHoBY
3Opmv7V0vozhzC+Q7SDXGysnBDrFfIPCdiP2cdH3BrkW7BMmofcrMCG3wxI3FUAnJRBTNcIjfUB2
M0Zhm4xD+cp7zK0+MLwyM0C6Odri4jRi7JxFeJIl6IiedSPYfCyisLns5/JbJ7r3YzR8omeAS9zh
YuVVdkCQ+UXVy/Z3/uDv9uh/pQ+eQqzPELUnudRfn0f/97kRDM17qII8/7wsFEHuM5iPU6HGXbAN
3Q0Wv7l+8j7/zVd+vWjdz6DTBi/OEN9BM/Pzz1i1LcRsTB+XcsabcNFDiToRDdILVqFou5fL0JId
ybrqrw7XEzkQMzZILC6N+RStNr60KBreJEM7I2HHM9QIBMCpLCS3gRnsJ0LwUBAyKbu9xr0439Ew
6YvTf55q+X0S5WkO5f+Yjcl/9Of+LvX/Jx/z/Wn//f+0bPxqGYhQEXs5G/Osn+Pff/+kuyDi8H9I
/6H7M0Em5O80TJL+F/oHoizFYQjxJjqnKf7VXkA5ki3nFEWC9mpK4wxnUv3dXpD8F09CZKRT9Byw
KMmy/6i94PnZD0jEzj0sceaYnCrWopciQ0o9OmTxW7Wg7/rfv/83p/2lcR1bQkJ3SVSz8uMcV021
2zZrHyuSrH9TGvwfTfafaTt1ypoH0pq140d4wml6Z5ItLB/Kdet//nn6z6uQ/4zv5CuzdkOqXxYJ
nuCxQtExajOEprSOox08B8yT0XH+l1H9xz/GSYEp7H1tyi45rgpeY4f4qwRM1Cbplz//mLNj+cfx
/PNjnFIqz8ZwqAHAO+poYG+iyLD2vQnrMLmx6dytecC3ZEJwMA7v/vzBFzY/Pef8nvjxIQ2HhZ8/
uDQZX6/6Shd6z5SuxPHPH3iePPz3Lzr3jz79QCo2E86axkcjFTdXCWDUZD9IRaobgC5q8iYCxE0C
RgGMEAechEXjKeyqZbr48/edG+ufCTg+fOCtkrGy8VGX5TLuUZcDsCz6OUg6AnI/lgaVIG15gGJc
CUy8Jn2fdrugTEkL+g8PA0vPJ/fJGjelbRfAdLAEKYn3dOp/8tiIV37fSxvoeIUelmpSO8dHaxX/
FPa23xWLrt/6Td3xDU1ai0TRCZVeKsSPEHQzN10gpH4FQ/DS5B3f0AcGBSxUu9CJwJePkRnZbi02
7ud5UsczTI3Bk4QAEzr3aFY4hmuwTAe8NHruOX3HGxCgbVPb1PAGPUOPkAVYCFi3EaZ0+PPyv+Db
zg10T09OmyG6rnXJ87ZRY/GOt6iqfwQmPwsBua4yfo8wnSaXf/7YS5vh+B5SI1jpFV7uXW95cod2
iWr+iBpx8IqjfmF87rgalYY6NGuc5lsftXhgsGBC4VOq6ZXdOJ/43/hO7ixWhrdJo4kt8j7AU+xk
pgglwcbYSABkWbHXADgvfcbxJ5T1KMwOAc/nWZP5okv6LjwC09usx0Ggw83PrrnjNEYUZwu6tmk+
ELk9yMmiCs+T7OHPe/3Sj3C8hpFrGhnEODkJACZv1MTpTclsPz7KOJWvQYRe2vHzf3/i+Kq0HGTK
hzSfGmYvg3YL32ZlNDWvPEZeGt71HoWwIRYnyZE7JCu6RFb2OUEh5vjnNXppeMd94MHZo9MzSfKl
wQ7MKCYfmQ744Dl7x3loQTvb2DrNmVok9sCma7BToRWb5wcce5ZZEI/ZitVHXmPsLoco7sxxqvlm
XoG2vLBA5yj56fZyYinSvWuSZ6oSH3mq1B3QzqP1m79b8eN2OrfXxzwfKJvFxbzRNdtVsjWhn4kl
jomtwo7JTCaeS1WiLgOU95Luas2m1+7ms+f5jUc6l4efLpAt6zJskdfMkTUeJmRAKOd3bbAtyVWJ
PhN5XEtiu09Nm9IvuitN94onfynmSRzDa9ayAIbWwBU2aTNcVYHCY3y3AUgijikQLQwdrnO9LXtR
4XGKvo+t5OgrMbR/v6BVR3susGOgtkgAGpZBkbccnYVUGJ6nvKGvnA8HWPXvyC4hz5c3XmZg28mY
5TTcpv64RcUyH9EBtDUXAyro9i0qMj2QdMy0F2xLu/h2pZR0bwhP0/pTKkkcvzKVlyzBseW0q+MB
WC6WD7xQdJ9s2Y9hXc34ys320vCOJTcTcFh2rXk+BYPJyxm57R3wPuVfXo4uduz4DJ1Cx1fJ8nJY
088xbrdbFQatnxuNz8bx5BIYAbipg4CjPt3gJQOgVtpuO6TgrXrllL1gZWcmmqcfUGK0MVmnNJ+t
KchlygAt+rYOESyuIlXY7zqhh3ZHtmQovw/tpojftsSO/wAGuMEhAuY1SYsWEKGRqHZn0S3j6cFj
x39sDE1FOkEXKyBE0TGxS3nYkj44+G37+bQ92ZikyMKuBn4+V7qc863jyMlPQ/2KD3rhzP5qQn06
ehRWwYpQNa8JeozIHNWHwvbE81A5po9XDxpNRb/lBO/GXVhFj13JXgskX5q6Y80RQIRsbcotL7md
32jbhbieR4DgPM+NY85VreeBTnbLgaHNAN9GT09BU5Z7bStzrJkiDTzMEqPPBRL7hnKANtpI+M2d
OdacdgR5T45tDWZS7SXVyw6dh8zPjzLHlOswmEJTqC0fI9GcVAb+giVm2+nPK3M2m99cx8yx166I
q22L0PJkgvgHnp1yObFZDl0+G554/gLHZOnCl66WBdqqYLjvMlR+jxHrpd9znDkmC5oHysyWmByo
2eQSiBN9qG3n6W4Yfe4QohkI4XSrdV6qhl2LpuVvUHbznLpjsbioCykjOudjXxfRfoqJ2vNqldXh
z5v7gtEyx2jjolQy2JDmQdvneiXncr7RRdF4GpVjssiPBgvQqPNp0qVRQD6HafM2nlKUzr2mTx2r
lZFYxnJBx+daAvkqh/izzWz3ysF/YW3OqMKnnh50A5IB5rwcx6ZCY8UZSDVmmfacumO0dKgZKeoU
ndxd8HkiiO+6bC38tvVX78mTa0QOG6BsKvnX1BkZCXg5Et+pu9YapwVKxNFyzAySxuQ8uvJfmPN2
PJ17uAxFozD6WmfVXqcSnV8oX3suu2OtFYvTHihNjM7Ij1Gw5lSK0jOzRR1rRYtsk4oSg2ebBqoO
hU68vJLVLzb4hfV8sjDrTIFhtBIA/rkw6N5FNT4aitnviqKOrbbVQLqehvrYoQNsZyrxQ9db5Lfq
xLFTBXjY0FdGH1tZAabD4s/Boojn4I6dhqBDobZCVZOPYQd+I/FVgTrKc3DHTEeVrTUiYX2sz01w
SY22Hj0R7jm6c7dyNL6XIsgw9UxHbwBeoXco5jd+JSri2OkKuFEHeLLOgalD0+nWpUmMNjsAUv3O
DHFMlQAx1aK4u+SWtSDKCugQ54Mh83cv704cW40EoGf92uJmRTn/KqtVdFAScDq/0clzP6PRv0QB
c9P5nNEvUU3uFaP3fkM7t+qq0F9nbTDnogpu4R4/W8I903fEsdNMiJZHHZ/z2lQorlfxQy+L3m9D
I8dOO6mCKUu1zgMxoxmu5jecoDHYa1XOHLVPHTvKwmZQK7DDAFf+JWz0SOL2FejBC1d15FhpKkwJ
qpnA5hhWAdNOVIV2I0VLP9cbOXYKhKSuJJvmHGTH4Sc2ww/slNgiv0gjcgxVjw0Jm6LXOVqptkO/
8m+VAOWb37I7RlqkYuQLgNt5bAHWadsBU5evVV5fWnjHRLMuYWII2jkHmWD2JlVl9KYJiuHRb+qO
iRJwF01oacRxrIpqR1vziafCc0sdG90Y0HQFUI35FIN/L0rXz82Y3vnN27FRZthqBMXYQa0emLZv
gLp84zV06FhoD4aRcgZxwTEsgmAf1MWN2ELP/EDoWGgUDQPfAhIck/CM4edgNrGNn2sJHRMNKsTp
Eyhb0GzQ3fdlfwLnkZ8nR7vOM8fCAIemK3Lqx34D5s+Qaxb73aChY5iDjeekB7tDnrTlTdqveTcV
fmVWF4slmnmttMakh/bDtqDxgn/0OyGOSTZZPQ2bxCaiV+DbtGb36Zb4+anQsUc9gl3Egq8st6qO
HsCdR/JaU3Xwm7hjkbQrztSF2ZwrtGqCoUdeZEX2yW9sxyJlIxQIR8PgGAtEt0GYfGUZQMA+g4NE
9fn5w8EexybElVwJ9LfGCsQ/oAldvAyHZY5RAjnJZxYvwXFM3k/9IUUW22/ajkUCMD2ysbIz2N4A
5jBUDTtQ8Dz4De7YpEH93dquAHdgNVyYBrX9kdaz10kBmvH5gk9ahzJoMHjaxHdUD98Fs5Pnqpxv
uievrIzFNhxTYESnlt7FGHvVi+/YjmlGRgAZinaYfANf4g2oFeqr8dyq5bfkjnWiU3gB5aPGQYm3
ZLeF9YcmqbwCLBBqPl+VNdPMgGpwzldqQX8WsiLpDwQRkPByLejMfP6BwbRgxgGYMy/Z8DUwyyOK
Dx+81sUFay0UjGgJxbpoXcaHUaO9kKaEe8URSAg9n/hULRz56BUTX9c73YdX64J+d7+ZOxYKlH3I
eEVVnkr6pgHg8AgqROK34i6+SpcTMJdgPMrDoblnQbOvp8orSAHs2FmTcydjSVuVE9A6gCAgmvYR
q3/6LYpjoBYVBQUSBgWAQfK5VOuVAFeO39COfa7TXMiUBFNuo8bs0M09nrq29kNGMBdY1cemyxbA
d3KUkLZDh5YjTtHL6jd1x0D1AI48dB9OeQ/4C1jX9BRcB0to3/kN75inCSi8ItPY0cX+pRDBrSr9
5jW0C3CacfFUQ9KrHIjud+swXIZt63cOXWzTUqQyqRs25dsyVsfFlOQQNN13v3k7xik2VqhplQpE
ScNeMnvbpq+FnWc7+d8lF+aimEyAfDAYP6a8apdY7yae1G/GZACzWU203fvN3zHSWIL5R/bxlDeC
fmkq9hgM8sFvaMdEVyAem4QXE+x/QXOymiKA+5lfqQ691s+9S0mqWEzoY8yBen1sl6DbsWD46Ddz
8nzsah1BrBZWKo+JYAZkstoysPA2lfS7pLljp6wq0WWdNjiSa3AvWvIgRr+3OOOOjTYiBtfTjKEL
m92DmPEtWlK9ylDMxSw1qS3acbFTTouW5EFK5ntQIQovpC9z8ZqEg/VrAS9bDoIVUH9MoKlmnoAx
5uKh2rUI5hWtV+hGHcJduPDTaNDJ63VcXCzUPDGt0QuJdbHhNWi4rpt49bMhFwWVmbLR9VhOOS9K
dFNt9jqb0DruN2/HQDOcknAlEsQx/XJHo/FmCmfPeTvWOQlUJxKDnnSVpI/on75v5Oj1iGMucqlY
WSvLAXQ3CVYGbI6l2YEeMvXzh4ljmTMFf0LdZyPqNtW4n4i8R0+fXwiaOKYZhnhndXE4gjQC7F07
g0TFUYdB4rcwLhSpBn3QtkCOIKeZbcFznSTvGhFufjvqQpGWOk4KYO3GfMsmso8Uu8VN6lc9Zy4M
CYRcaR+vPY5Ln7FQwteCvqoCV9IivXI4qPA/d+mA54ZZCRa3HHQahu87JM/yomDQbvCyJRduZKXW
ICArhjwNlBz3ixnanzrjxvPRGDu2GrVQXjBZMORTZUEwWiY12smr2O8V4AKOOF/PvOvhkOsGPcch
uHD3FK9fPz9z5th5+pieGyDwFO2GXDEOnqdoI/IrepRBe+C39o7NrmJKJrNibfoK7NliBkVpE/nd
ebFjsw3pTRtwjXXv0uHCqlCdTNNXF14zd/FGC12oHRoz5HURb49hX5SgnEkH6bcwLuCIwk/G4LgZ
8qwrRjBq6hS8jeh/TUbPDzjRL4pxsu+GBStPlbmcpvRDNTZ+uXnoyTw/Nly2IECYpyHnbAZ7vbo3
cn7vt+5O1FsW1tCmKcecd9mXDmoMaO5nr2Frzyb5m7jdBRqB9ZdDDKQdchCipl+gs7ReaNkunkfG
uVnnMFjtBk6IHJaa7RJAX3aBDbifG3MJzCYboEbfYPR4sVBxiYYrkKC8Ykq/QtDfLYxjp+gKB7wu
JX2+JLIEbUPb1XA2XKxyX7ZZKS+g/GTe61Y1l1TRIMnnqkITNlrc+HiH/J+a3oNbKLmQqEv2F7Xs
IEHEG4FkfLmOaWjAb1+P0wczkkDvQzt28mtfVcG4TxBYkkMUI9d+5INe9aFBmzHUCVClXkEZHaR1
TqAhwC6LvjZ2H4XIJnwKgOy1p4jWih8oXzGmaUC7cYKER3UmbyabPrWErNtBLS3tvkDhghV3M0sC
sOlE8Tjm6QYCxXxa8XsPw7zFRxDXx+m+4wT6M4nlpb4oo77MbpK0Q1/YmZ7kPbiQDIiUk+lyEGra
8rDPUnsybQNWjGViJdifOJQkjuhXX0BQ2YAvEPFsltl9OgnKd20vpujagOA+u2xoNLN8w2qD05bK
5RLU0S10eJYQtLAhSAZ2dTEV2/smqnvuF4Uwx2G2K9OJBElxnsRVj6wPaExKUO172a2L9KKssAgk
myGvkvZHwSTYkYXfvF2c14JKzNqAeTaPdZGrrLkqQE/oN2vHS8YLkCmgph9yEDKvuyLIQI/ZRL3n
mjhucgJzSiJRtMtLUkNUSY4/k3ryC/qo4ydrtLcuHQ/7XFsNjh+ziouezq2fK3O1dKpEhBoCYiov
J8luGOJXIP/1/Nlv1R1HObXlsoDStc9lWuqPUzpuSOZ30E7wG548v53GTsxoE8n6PENSeReT+qba
Sr/mL+aCvEKYcMzSAbxD/VC0hz40db6OofB85bgwrwhqAyCRx4lMyjZej0R10PKBEJAcD16r40K9
ZigpFEE195AJa36agV3FgfLr6GAuF/CgzbSMlvc5OFOBI5sVh3QFzWry02/ujrkuMQTkFk0GUPGD
7nzH+5Gixp4SMA35fcCxWDN0DRQPSgQI0IDZQXmkPgohPAMEF+81cFPUW4krHDUaEJ/oKIFKiQlz
v7k77xATolU6Fl2PRtemuUroEs+7ZJwSP3w/c9Fequ5KAJl6uOFO86uqo+EXvGmtXyqYOEbL1xaa
XArxKlJZ62XBCp3zcOaeh96Jbwik7jJxvp1q0ZZ7ZcZyp2dwQfmtvHOxgrhvhcJH2ucBRDZ+VECb
/9ha3fohP6FP99yfxVAJrKtaDnmc8CW4lFkX7cMCJL2v1A5f6KsDiffzD6DdtCjAad7lWxPR6WGQ
Yun3Be/IcOZiDB7QcHYbBFlTHxDFQT6rzPAYPVVQJ+v9dt/Fh6FPN4GABeJPAznJFIJ6NQgo2qob
mpPXFrkAsSSkG94sZ89UzFFx3UK/lOfQh5xDv+yUCxEDJfuEjlfS5ZRGAppIpjYMhFBs8QywIse8
E7VBTIzgA1YTwJY3/Qj0/ne/1XEu5GZu7ZxpCEsMU6f2a0lBKRn7Ttyx7HLcQBspeZsjtj01RF4R
ol55t5x/+2+eLb9aKJ9gAdogCEsDBpF8hvDlXgYMpQazvfNbFMeq56qZyjNrWV7oKT3qChJCbSw8
r0oXJ2a46LsOO5qLaQ2+tbWh36cA143X3F2gmKpZ17MuanPEWrcQ87puxvIVLpcX1tzFiZUr6ozJ
1Hc5GNaqq6iZUlDz98bvEnOhYgb6KekiaZtTmfbQbEohQFlx3VV+ZuoCxli29jTpIMUKstt6P2bp
hWSR9bsHXMjYNHRlWWSigxxfZW4UmOf3fK6X+z/v6Tmy/81hDx0jzYy0i4lwvzeQaEHIH6oyOzZh
1PfHBK+6zivGAg/a88sA7B9FMcxTk28T/4aH+htI7T7++Rf8/uhAs/f50GwJURpEOxY6BEGTuhuV
Xn5Ai9OPeoBmzgIJxMoQV+4grjykBbI7Kr1sk1h7mRQF2dWzVGlPar1uEyZflBXe+BEZoL24+rkD
8E8/Hz1LNhA2KiQ7ICAS2QNY59ZuX3ddvfi9dF1oYGqTIk1o2eehpqA9xT7UZ48ZZv3BZ3NZ6PyC
NhBqXDIBlxOT93oO35VR4bX04MV7vjjgDJnTcMLckTSNwXGNCs0GyUUvq4XE+fPRO/iYQALsCRXd
qXi32GB431WxX5MayNKej95ADE+HBKrMuFrTe/Cix/ks4tRr0anL5DcgaRQWEOwCxgHJpn5M7wNW
Cs+FcR5D2s6dBTFsA+AHmLmgRjOMn8G/3S+e4zvbmi5gEUdk2+RgfbWHtAzDux79fO98ziNqIs8X
3iZQxgjMGBzKqFz7qxqKdLeEDLF+xaB+ZVr+tz+mLrAMUsRkTRINb3bmRX07RlGnL4RcxumEh5gm
J3DpgSV4jJu1vwFhaLrdDLwe288E8hQnnZDtkrMASkPZBp0QJB0DCU25Ll5BLTuOVuy3siq2b31h
hT5BbQ/aTDqu1++0Zex6Ger5yopqOdFCn/n/wYFR7cJWsO2hitDfci/PPBUPnUgHdcCDjW34v9Ag
qkIgP2/roQq2A/5aiTeUFP3y3W/RnQc6cI2gJkZD8rEsovp2yWR2QyC26HfBUhcS1wfQw0Z2FFz4
a/gjIeM9ePzv/GbuXHt4a0IKPDEypxtwtg1hl6RXrxFpnC3md0fFufi0DkB/DpHLfBzA1XE5qa0x
h8wC9XAARXVWXiZZ0lSf/X6Jcw1GYxYnbIllHgxBcmTSNKdtaMoPfqOT52YFXliNNyKV+dKzCnJZ
2+Nck9fW6bzYv1sn5w6B+pLQctIyTxot3gNVzd6mVbl+XesoeCWz+dInHKcTFhmkLYYRQjMrePsP
FbTORwEWZSTbL4VBR9srj+oXttxFzQGeUOolacpjKWYpTzpeI6DDguYo2i0leyC6/bJKUFl5viOQ
MlrbYmqwaJAEAtAtgTqu9oypuGPQAQhHkAjoZB6hHDdTc5pp9IqDfmEnXBAdJDpkuqEH9yBL0KFf
QmwwPvVphrp/Ui5QQ/Y6r2eBmacV7hhjJ0LwADQdIBJEr3v5KRu5X2sr5Y5hK5uNQtipzjmP5xMw
1+muqCK/xwp1gXSgAcdTXEcQ7mIpOw0LpFbTTHi94yh3DDlMhqiB5G1xiBZxFRZ0x/rEc80dM7Y0
bFQ/Y+htY8ciGyGyQbzeh9TF0FkQoQmVyeIgBbnmcXA9Jn5ZPOpi6AArPBPhQkphgHrgVa3UnAcx
fe91DF0IXRHzarE0wGGPSnUchontbNawk9/ojpWGmZyKOAxEzoUaIKK8Po6l9SOHpS6Grkx4GSxE
i7yxpDnpbO4uINLoB0WlLowusCvqKe0kclFDYWSo0puAT+roty6Oea51OGpF++wwt0ysJ0LMhwGi
On5JRZo4Ny34/uexYV126JbxVjZ9Xk+93yXuQulstUIRpUQg1cxa7DrdQU65iV/xvOef/5tr1kXS
Qdh93tDhByNSS78DamwPLWdPl+hC6TaQ9KhlHgS6llq7h1hSD/XeqYPKsdeeuli6rLXouZBxhkar
HsK9aVNM1/0KXeu93/jOdaqTruj4SLNDazbUbO+BAnhl5r9Stb9ZdxdLx5ItAjlVWeWRDehyHYo2
RoNRCS7PBzAl9bmAYjvd8XGBBmmC7JrZQ0olXsCQOST2NOosHI/bEJXka8tjsuRFSgX3ysBDXOP5
PdlkM91oGquj4Ot0Aic/OIUD6VdXoy7wBlJLdGvkDFkn01ZAWcwPaKlcX1nXF46zCyBcgzECZch8
fulNc3kJBcdUQ1Fcqu7gdySctemEgPhBVPHDOlUJfKutIQVRxUlEv/t9wPFT0GbSG1TE9VH3FaSf
U2YgcsC8kuTURRAi2oyhyNHqY3SmLDMQ7Nm3jHtBw6Gv+PzYDHxhqpgx+KJBO90oNu76hvjBE2ns
BBKs0mjk150+kjoa9lRG9Q75vW9+i+68BM66LNAeLObjAqkVKDJB+mVcWeh3Jbv4wRIw2ZAFFIKj
AAVBWWcqbxtO549ec3fhg1BXGmiUjPMRMu9qzyS0mYSN/RbGpSsTk4l61JDnI+g1yV3XrvIbVHm4
XwTnYge3uDLjrBd17DpI24J0G2Q2DDLIfgvjXMnajKDM4hYKIjzadpDnnvbQn3vwG9w57LHUSUBH
TH1rQddiZvsznCq/XkLqMn1B7KMdi4bqIzTbpkNmqmoPp+ZXvKcu9mtDG0Tx35ydW5OkOJqm/0pb
XQ8zgECHtem+ANzDPc4ZGRl5uMHyEAUIBEISCPHr9/Wa3p2p2K6qtbQus7aqzCDcAUnf4f3ep1sR
WDGdfrOKvFctUFc/dVveSr9ahdrjpIET6WITF5tOa0DLIKP786tfNtl/cWi+VX8NST+n/UT4kdZD
vj62i+rUMdB0MMfMaJyCf/5r/uAQIW9C6HoldZZIfIk85VG1pnlTjtvyc0ow8tbvS7c1c47i6k0D
ljIgXZB/TOHHz330N8dTL7GmoGc0B3B+QgnIs6ysqn/u9HirBBM6i50CcfGw9gtoiS3wzDAw3n/u
+CBvlmtQSDd2483BtftwTGz/YU9k/pOP9M1y3QHQ2ifUeg4aMPZSDZssIUn9Odk/uvq/P/lGFpgD
VVofIhWZUoLVUxAdfs65CRPQv796nYHzlkiqD52b23LP1VByONdXP/XGvNWALUlAydk0/CjluD/v
AES9yHj8Kyv5P1hKb1VgNfE+WSBWPuQmwTzK5dTWafJXNcI/uvqbhZolCcrVwIgdM+CvxRp9n4bx
+eduy6WW9z/kBH2SJjX4GewIny/QaNcd6kTXbvbTz13+zTpNBvDf99iIY67VCAGuBKLwlibDyH9u
rb61+9KWLwiFtTgKmwCjlV4P8U+GM2/FXzDiml1IcWmV4fi76CHAVP252/JmmYLP0NUtm8Vxv1gf
9T7Jyqzl/ucOp7d0ZxkPrdvDlFVw4TqNRj/G9OfcBMlbp684h6iIKJVVFPIHOUa32di9+6l78v9I
vmAj1BoyZlVKF5VcZXrA3HXr1fLh567/Jskd9YUUukzsCK7zBgv1zGbXl1G9v/ITvCzGf3Fov9Vz
dRHontzX9Kh0ZE+uXld1b1ncNAfMqbL63Kjdt3cO/M6/Tq5/y/f+1S99s3xZSOtxlfOA3G/z41Ym
gEGm+tD3WHXDsa23fijmSQFXA+L9jLN9kwG0u/M0aNqqIxJr2YN1uPdrOIMWCeAqIR6yuzGGpLUv
iAy79wWCHD3f9jTh+m61tU/oeYtAo+4Lsw8N+NTgmXekKYxjGoHQRPHoilzMU/NVG/CNkyLrWafO
ZO9h91wFJPQMANF59absA5Hbe1jIAQFZ5D0QP7D5DkD5gngqlohmhQiwhu9Pie4prO8VapYOgNPO
gG4PB1Q2jR90qpANSCb5r0or/GezzNlaUch9AZjEHerLdfVpd7WHBdRzxMjEjl8nFG3ZUmwmiRNf
5Jw27ecR2EXxXTULQD8Y5Nwnowq4fcnw6SLSO+ldgdg5wjTKlt53YE1XDIOT9WFHyyY9RGkN1mcN
3rMUJfCwIVdVuu55fJPwlYKOmi+7wlzYPIUTKAFjyahe6Z2Ml45XcUc8ATiUzojCOIi8XMEAt9jm
hs4j9JtyapvKCSTNrESFZGsmfLJ5NKzgKWWYG1m7qzpjCBuxl1C1XONpTS1w4ByRHYiY0aCqRY3p
l9kp4FHDvrHvS7cHctRmyvv73aScvrRzytg9cTUht3vd8qWphh0zKtlR+CWBI8JO2TLcYUKD43np
rtP4cE28i2Y5xnA1RjSmgEbuT4GSzX+bueqmppxWFIPPDBNI4jnZGMwIy2HMQBJreHSxgRyWYfQR
plh2iLbgoMMA6DsEPMtpOoNAKPb0TPuRt0VPe3EE83EsJ7p5ZVCSCJFdL5Hlam9i8OoP3mCPuqdT
s8jnbUsbQH3NMqXLUZLcbuXUtFkKl9g2DBXympZ/5o6M043YdhSB2jxeNlN47VDMLwTPWYoIyjlC
CKiNhMh3Sc8NuKis7rebMfUJqtqxg7fajjazWxvMbsXBUmA/WwqTtXhYvqVDhJkZs7JMv2e5SnjV
1jaX35D78AGLRmXTWlmZT/a+X+KGPkOeNaujDAxjQmKKp/x6z6O0v01a3+8/unGYFkzMmGjK7mcs
2vYw6jakZ60SOX9sI8XjFNtb39C8YCoT+j52rk++ZbKueQDfV6jmyvt1za9j02XTJ+lpyEt43seY
Rm88SQSsnXM6fK/BvgQ7uJ97/i0ndNYfMV2+tyW6Szi7MOcxhTuo+gBSnUGizb5P0qz7WaU6hOd+
j5Ok1C1W0neZ4TU/NX263zsRN0dwLLl84GZh9BDzTrdPc99u+6PHgAdQvUMK3wBeXZyI6dl6N46/
9ujctDeSziRcTQBn1ldzKhJzs8wghpYyI1n6mdM0Ez8S39f3GCGPrtFG2r9jtEUV0udN1cAgKKq2
buf+GgyJdT/BPIh8GkSXiUoPmHR8x0I7jPdJA8b2GVDvJRyiuZXbSQQT0ytGtz7+GNO6r5/aWTS6
BKg7gieijIXFEI2iAPmtuwXD18a7i89EUz18ALijnh4WICnbYwxYNqscoNrYO33OTXuEfjoxd7NY
6XfwvfFi16i7+Yd2iw22knba/IHmkzNNFaNbtd70EgbHx7pZgLbdIrY2zy23QIcDzavBq60jQ7+1
rQB7vhlt72TBx6SOwR7KyHa2g7Kucj6No8rZMU2Kcdi9/kycwCeo8rhJYGe44VN0UWNNIbfIjofx
YslTwNBu7+9nj8G0Q66N/5LGAYDfCOkdfDmBgqB3CJeaVxDSYV4shzZVJVU+nz6GGXxGGBwpBcuz
gvT73p29w5TscwCfztRFOzu2Yb/ftZ+mAiD6BUxUVLxX+90vK8lfgOAwOBB6uNWIpwFXuTxI7RZz
AMQRnc7D6FOVF5j9HIEAFokAJHZtyBCKJnF8v/GbbVC12ECWAne3DogRMcnWtmcLylpU7KbrovcU
bN20ajO6RJWN10RULOw7aLDxTuRpdbsXV4uaIoDHfVqHWwJ412OcWNm9RxU5DX3RDYMTR7jGN+5a
9Mhg7gPqShws7A7nnavrfIbOOwPIVjWx7MtpN4krM+CcI8wtGFt3HtNzu02eXNwrDGOMmXOP3Raz
9DShZSzvJzjddXOxhgwAHfiKA0NuRHJOiLDuIbdzNH5Nu40Pt3QgFu/Y2Kqh/UEGvuNNULBss4ep
4d16xDfb5CFXfWY/0H5t62vbdJKcMURLh7vFpGBuHbAdDbQCKonUrzuskuFpbkGsP9mpaxpomzGB
hXcEUFl53UoX9ElLRaAZTqEhjg9Wg3pYrC6M6Xv8Tv6yJq3bvgwwjcdMukjbKStn2C82ZYT9qS63
Wm/vZUodOXGhMeuSjyPEqmo1PCqDXhyQcmbyGwZIVpaUaCjw9hEfN88fNh+a7gTIe4bOUVf30fKs
1D6N15DutjuionHfvuPUsGMPj9Q4Tt5dOjUkLkk7s/1uB6taWezEe6jPXOLRw2iWAjh267Ehzw+g
X1hzjl0r3GlzVOSXk3tr4QnQ4DZaWziBVR7Dr67ZFzChOx/COyK2QRQAmXF6ZJnC/lb0xEvzELuE
z193YzXA14NbN8BlMxJv9xne/vaTtBsQNPiSZKofepTD/BPvcROv91SarRrJkrsTzv8IKODVpWo9
+J0x3yB4ctOOh2ma9bj6PlIfWBKcelxxz9brWUI/CKB613ZlJtvJfto0S/PPKmWBqwIOYfGocafI
0PwY4ZkaP8K1PhNfJziv9F/mYe5T5FcwRCSlkqlkJ8WcDYjf2pgDhjxHS8BROGw4PhDtwTKWRvnK
KguThilANsqib3CVD1kZ41CX532Z+2e24P0+9LEfaNkB0D6Xio3ZxzyFLqIkgdeyRC6aMRARJ7Zc
pQPL6VqQLVbzvW7nFiPHCew7j1rIYbojSvtoAI2cbV/lNLvtmCddtj4kY2zgv4s+q3jO+OiBzh5A
ynmc05Z84haUl8pmNUoBoJI7eh9GXbNjbKRPH9B/IuPT0DO73yRynCdsmBnWBmTxEKrxqx4mquau
VoPQW8mzrHkMUL5EoDh3an2yu58xEI2519SXsDGs+5KJpNMPvUWNCQTsZpgPJGCudjhiRC058JqM
Y2XiOsWT6NohucsWfSG5UnsJfjjUvi249HzN0wpk+DhZin7fwkfJB7gmgdiOqcVnjeE28tJYOt2a
cUHEVbaNjMpEwhUulNjd14J5StzHdIHtwamhXuO8Z1uMMJ1ggBew9ECyyJ07fIT43TKNjoGWTeeq
D+0yXvUblvrnPDZ+PaasHxKQSQwsz5KsI7wiA3SkhSXJfhQ4jLwrTF5Le79AOiXGUlHFhtve1uGB
hwsAdTc7ubGc9/GBg2Cz4RhFyFGZPcO274c1as49HXP3vAx1sj6NZklKNBrm9EsYar+WtW+zE8I1
UDN7TNFM6LoVZpPtqXUaxhoZ5qpx2JJy353QxQQYEq2cidNTg3jgo1eM3DSwUlIFFXK2ZZuktIFn
q05BSM8kvea+CT8yTP/IO0DXIfXdpd3F3Ryl5jH2sHhFCkTcLSju6Y7YCajyxzXSUJK7jZUUY+R3
aIpgWBvwUgI3cowh3wXD0w+Tj5pDn0raF0pt7mbtB/HQeDjoVz1e4zLfFl+mbd2dsiwTtwttwnWT
bMOX0KzyvSCDKbuYvhtyoz7kUoyiaGJtITtZhr6fiy3uhLdFg2g3HAPoceFE17R5ocmmr50MXFR4
nWmp9mXfjqOR+XWAfDH74CPO3jeDh2qhSt3IolOt2OqHosabyzEmH9r4R+fq4D7kOaWhWDu1cUg5
k9WHqrv4AZyHsO2wTeEmCRpk3Xm2INdvHZlk1dA1ia7XJMM0NsZKfXxt2qQW9zbarDuumPOPX3Y6
pLQUIVvdzZLpvPmCyFXNh9ylUXrSne6yW7mtoHMvzbgOhU+04S9kGXT8MJOF6ANsGsIISwJL2/MU
rWL4HLVgCcsyD13eVbGVrSuWvEMoKtzCutIMiFF8UZOIkKEIeVi67xvPyXy7btO6fwOUyiMcah3P
8XYPWFu5LiQGhuQBLjp1emX40Ml3W4Lc/zCNGVFHx7DvVMhoGnaeL/I7wO5VSh4wVCPzG+hnSVIl
YsvFOcHY1PZrh/kA9bBYx3VcBtGs7bWdLTDiBQxFOHqMu0yH8A6pMUuRBUOyud9YO1jsC+3IfHKn
FZbk+x7Jqv/c5704Z+BtI0FWnn1OLOmjLwpdSqTJ25QDgogidFvi7UCwVNTLit3dmmWrVtUY/pFi
pt+9cI+9/ZO1s0hllbM5wnlVj3m0vqd+l1tTRGnKSOFcbVQpajKk93bnW/g1w7j/8MN0mGY7cAmS
4FMY2k3AcCCfzCMYz3m/HcYV7q5XoovS6ZFilWFHjImZObandmMoFrYjxppPksStP5G+7WNVZbtB
CFAMlNIGNvAT8g9EfHIuw6ovsQgwLs6/k86Yxl+JvunNy2CjaT1OMnLibK1YcjyxXXhTzemwrV96
kWMWiba9sF+c7+f1qJtYRaXol+Smm5ualjO6ye42SJk1eCSswzCgRZW9NHqdEZTOFHYyL8sOl1wM
SM/17dSk85WvN/40kzQ4RAf5vuuHMAxDYYDrLDAU1iwEfDEup2PwPA9lA8Lpct6JRYLWioUV1vkp
0oVbnLfvWOJZ++sKtAk/7H0ctxX1l3O1aCwYE6caYfZtB2suvHUkUeS6lkCm3ugmTB8Fx02oiHNZ
MhRxB93Aix12GSFKDXF0te14r68QByTs2uEIkF+9J90VUoBEfJ5gcc7aMhdN3D3pNW9bWEIninZL
gZcsJyXHrhqQzUUYnNtZm3T3XPp4Lw0W/Ic+ydVhqDs6YqnVy/UUo4Jxh3oFyR/5uNH+2q9GfEMl
5hNCD5dSIFUoJOATGDHp05g29Rf4WciuahQ2xU6a/s65GJHZDoMRfx4Yb0u9BwBHoP+PTx0zZLib
HbHDnakXe7NoPcmvAES712jura22JcJjzDb20i/ZpbnTc5ztW+ZfKGIJVzX7jFgduia3FYNn6ohh
ZUELqX2D2ACtyhWwO76hXoud0KK+4+S9xzgCCIz8UunB4Ld56RGMFWkOBfoZpXRhb8nM5+iRMIj4
IApiY7OeV9o0bsBDWUJsMdFdy+6wxYRLdpCcdu+aGWz4Q4Ixh/nXbU37tYxaVK6+wKsBgFqTc5sd
xjYNKV7NLn1vOuQjV2GUtkglNlBdrIsBxa5Jl/Y7z5VNX4hf2rUMyibIdlg2rFshVz5En7suqb/x
S2hy4humzD8Eql9dP7gM4a6YEwSzKuuXkwAThJeCGvU65ViyBQeyowQWJM4Og8j4b8W/nuy4CYEf
4G9ZZ0hlAFU/binz7JNuIoH5407UqAxGQsEZyWpYFFQISpS/zuk0fR+GjSTY57JWji9wahOyTE3r
yUm6LPxA6tzsN2ZI61fVDrvIwf8Oa3qrWp/NH6I6pvlrAmRG/gOpZYvKiGzyWzGZHntH3IYybZLZ
PxpRM41RI/SWsoY28WMXUYpqNkKP+Cb3MBQ9itXQtNrcHpPDSle7FoNatvfwRE6yj9qI9V0UZfYj
r1nyAQIKt19NNaZFTtGExHgb1LYeaMZh6LvLVX/EPe9vxqSHrI1KALjhcZJN56kVYi5zPSpf6Kju
P2FSdyvmHFM+Wmee3phNR4+M+u2Oir3lx6mG9cJhyMN2NQMrcZXoIT5nwCRjzxuJfWlFk4cH3UyY
Hl5X+P0U+bzU7r1fYPH6BQYiSM5s8Fn7CaVhwgq6BtyH1EuJbUGQhEyIOBjmj3nsPrQbRZBIUEpo
GkQZMo9gD8v2qDKQweeHnDeom3jg1cEpYWbvrlId6xfYr8v+KeUThsA3EBieOnyQgnRropcS23Zw
vjCojZEH3bcsK4nGx/kwTbWfjnKuZVumGdP+20Xrep7GQambjbF9wO/oI/vUJ5kfHkjDPAK20JEj
5zqaTpBQMv8OpejxgG1iHI8mz6Wt0nYdEsjlAIY9TD7GJgJ/jGs8C5Qjap1PGum2h2h5DcE92aiV
aznmSzJcR9Gq9ivYj+0/ohzYpGIAGvKm2acNy6fmuB29jw+9yJZynp2/JlOCgLPtxpug2/wJ6uUZ
EwLwd0SdA0YNJGP1p2iHnPzIMSETPqDOtK04iGyc/HDcNCkDA6ffUR6ww6LH84gORfel3WerSjwp
DLzzvkVkjh1zWFXZzrWGfznMi8QdLNI4K4WnejlvUzbzKwYsN9Co9Up5V0Q5bA+PXpDLIozk2jSg
K87ImLD59JXcrfBnh6EMUaTT5gYsY/S7XhecnfVZGxc31QpH7RhKTJVmycuUIUKrVi9MW7JspZj1
cTT0Lx2FTU0Vw2+++zSgoJEValza9kO87dg9miiiyTVlicpLJdIhrSZUw9ZyGleUtgoMQW1NJTGF
Fj9kejb8HYAg3VoEuEDrwxLqfCpCumeIYIRO3PfIgKpQ5Bj1EO/AslnZVRu0Z98pvpT/aBGg0tvc
JgMrs4H16ePQ+BimyRpJQdtZpZ4CBvj7YyptrEKRY9h+RQGzHfcGibpDyQEv9YagENj0egbrWtj6
rp3ibj8nWbyNd0KjTltQTTz80nVrXuOcdO19utcjxD113I+nha9R+ogBO0axpgzZPfo/Y9BH8Bu9
OUIuplWJrkq+fBu9shEAibvj52hAOeVTPKjLE6JIfKrECC0xtYgETN0vqB/2JeYrnF0KeLEk6U1M
0xzJZe6i8dRBZ7F+82kQtqoprd2Vx37tK5Nr3R8GQvhcpSDSuL6YjQrtEdngIG7qDPZrEF8OFzwY
aGlTJdtObNe1ixkvMSfSiLyCE0OMBdXVCv1stEKn5pquG9kRszidnVAkmNCtnxHbFajDJn2BycJd
VjNeg+GYbUsyv7Iu74cIuUOSOQLeLUxMftW9GjDP1aND5nCYKsSJWRkNRlzRVKdhO/cJJ/wFntHK
3Xqk9pvGF+8ymSEG2cj0kLNu2D5G+DYiKtrEkWk5XtyskZCufF+z++WSQd/U0dRvCL6gl4XBVKib
5iGoxCJZMQuhWOBZj5oVK9FryZGtxlaJ8XsXkF1DIBeYil+NW6MZwQDLkTBNDuO2K2g1k7m2Ylr4
Q47No0GoyOX+o2/RjfgipZ/6Y9ZkY+RxdzUZwWKmpnuXIdzHWk4Fy/KjRmg0v7Y6yz0vXCLg1uxZ
tvDnBPW5DvgX1P/dN2GypX/R0TJFj1ODhs+79ZKowrEg8CEt2TrD1xhjc9oM51ah74WXJNPkaBgS
H3oAR3GZbzAB2OS+3NFDmpDpdoZ1rIpz6viN1+gk3SK65vQWYVFm34+D7M01a4ifztECVvoXEsd1
XNJLzHZcJhUtxcBSH91OMdyp3kWLXTrscbChLwUi4/EQFsXNfWcdBl1UHrP1eR+gCyx5bNHk6cgw
wmLGNJH7zqnV9TPxFpv/CL6BXPfraAe+GyErfA2Hs9cNCYingLguE7a55RSmUZCTQZXdXw093eMX
VBXz/Lrr0QksdawgADhg8DQ2vMK7uaO2damoRcfZpOlSEqpkVGDN3VFtQ4ZeYw57jGOcQFo9H7so
Qb+HjmjxhGIAYo0XYd50XpmW5dnJbYvYTzrboniEpVvqF4GaXgNW2rSIRN7mibH2JbdwVX9lTbao
WwS2HTsOebuI996jNVMNDZcNphMhSHvsxnGgN3UzjP17z3FjbkLKe3sdL0Dq3K34rCmI5mHPH+XC
VHO9SSP6D0j0unot4wXR8lzJiSuUrTN4tHVxuWAx66iE9wcNukIfkHFx7CEHvFgYs89wMIxtUgoB
A0x1UGgF2eWMAMzgxjomtXnEOT2i8AwxDlppiN1EeE9w2zFcJfK23z+ge1JvxxUr+Sj2nd0iiabR
TRrVAoEdjeFel17aeDy9iiWl+qqXbM5v92HCiG6Shsl99t0iYFrRL7AOObpGb6EtEk9zhh5nCtFV
PFu+lhSFDftFrbCsf5xgu2DT48XqNUFNY8sBd+dmF6sshfK+r4IyF6Kcs/Q+N3U2njMMl/vTPOqF
VM0a9HibWvjUoEQao986BcOWY4ciflJENkmiI3qUrqsG3giknXq2GhESUR35ujFQ5G/qvZHbEywZ
Mofae1ub/QcZc9J80/0UD+eYYNTxHKPqO99hvNy45wGW1IhtxjzbbpMssuHXMOdS34bQRBYFvi3l
5S4QjhSoLy/orXTWQuw3u+xuiZX1pQsAh54NPoKslj1N+xLaeIqeeZZdNKorPwrIg++HFWTgD7Hv
G3tn3J6M1wzYu/3ytFmNWQfhAsjwlmXyG8p8EalkziNtYdaKfKa0I952dUBk3eOAxEZ6SfO90f5B
RGYlZYiixGCx8NlgXELnlzsoNMpViCRMLh4sW4cIc+kd634sl/PxB1swZw97g7w5z5MISRFjvxve
E2NSh7XX5Gp2heYWg/4oMQEUxdq4iyuS5hHkNaSZ6/u0Zc4fsY3CC3Edxm59dXLT2+20M5V/NNtC
MyQvs1yuQ2D79pEzpdeHi4cjOVm11IWC2c1cIBptLsVyva04c9HAfOQhCHZtW0wa3KNRouDBgNh4
R2lr7lG1ygGuzHL3FYOrMy8wWJT6w0Z1j6qdmdsnyCQSREQroMxPEspGnItgbMC7Uay8Fi9MxwJy
7TFGP2u9GmszT67oMO+XFROHjoCU6H2b5RWFpAbFWxRsYvcV1Yq9iwrqEL7KIscu61BDHCZMexQw
qUfeedwwHgo40LhltP2MCeuwmGLxgNjMV2p1eSdLP8M/HHFoTLc8qQxpIeWo/s0aB3veKOdX6FQR
V8ZQBNki4m6uSxglkw8EPx3drL5t9Fm0l9pvg/R705c9M6sfptSaA6oF+wKlclRH53+rly3egs2G
E4y6t62KqZyWYg9t/oCG1bhUtMbw988pmN46C9GQjWoa7XCIxSeZPdP15xTqbw2F8oGsaNfguqR7
4ihadPlPjtAkb1SdE9waRd0xdsQxGaOIJNb4zmK3tqc/Vy/9gWEVWga/F+qhFJY6KNLQmYiw/uZ2
6tyN8tEED0RrNApO6SqBBWBiTh83i9ItEiwZxeUUbXhOf/4hLqqif6U2eqP/bNCi2brIsOMEmulQ
dZgMuYN4cC4Rr6H9iF4c/wungT8SU73RgprZ4lWDpvgIQ4CZvXdhqpdKN4hzK4+TCe6kcCQZEJVu
YfyLO/wHIsu37kQS+jCcJml+pBxMDgfbmcOMWvNffKE/uvob9ZkG0c+yVuRQjqhvvUlePNf1X8jF
/+jab+ShCNNnpZs6PwZgP4rWhHO3DOQnL/5GYeaSxI3TQvMjatAHNFK7ok5QefzzF+qPPvkbeWi9
rZ3LRUePTRxZnOlrXSQtTv+fu/rlt/4PbWvaawJ1EO5Luit48zoByuQ+vf/zi//BG/rWmoiaRHm9
SbwuLRPpD4uaki9jGlJwhXiqdKEXqLFPmBTK9U/h+chbP5uWN57BRig/Aoeaf8xmY+9lgvLqn3+h
3zbXf7G637rZMBkIykJNdlRctKhAizF4NFfwv9eQOPqSIfLGfxmzZKRXnZbPcu+eE7xp+am23dIi
V2naA+iMP7aVAN1cOIaQ7L8+3X983/5X8zo9/tfnsP/4T/z790kj2W9a9+Zf//E8Kfzzn5ef+b9/
5/c/8Y+r1+n+q3q1b//S734G1/3n762+uq+/+5cD4nIX3i2vJjy92mVwv10fn/DyN/9///Bvr79d
5Tno17//8vWH6sYKSY/pvrtf/vlH5x9//wXqQrRJLtMp//E/f8k//8blW/z9l+p1aLt//UOvX637
+y+M/TuBb1WSU47Y/vL/v/zNv/72J/TfIcCAxQ9LRAqGGMemPYJ82v79l5T/O8oQBBKZRKB+gXrB
L3+z0/LPP8riFD8VU5IkuGL6y//5cL97Rv/9zP42Lupx6kZn//7LbwZa//1K4cvxlKUiyxKKKUs0
Qt5s592YQ5wm0BbpDCrZEK3MaOiujf/Urm59gFDweYlM9DQSh5AYDW99A4ELFA3Qp/YISeXwWfVm
/YqoqjvXvQAQfKA5erpiKVBScMcOgrF3G423J1y+RfDn9WODIu8rcpBvfrHQO+4CEDqJyhedsulR
C18/zyn6o8gF7UcyZerrxGGMHaGoXNi67x/DlD/107DewCASUitC/QuRND7Ecq+LBk2aSkBw8X6a
xCeU17Iy8VBkjv28HWgU+at4hI5wS9OuslYjaAvz+1iR9iLUnTA14cST3qK+WhY3v88ULLRtg1i8
8UCQc+PyE1Qs8xX6Hf4jDldIbtJ6+BXV8/F2JU37jVM1ozxh3bdl5PZZLqmCa38NdURGMcebrYR1
lVRblKA/9b+pO7PdyJUsy34RAzSSRhpfSfrsGkOhkOKFkGLgPNM4fX0vz7yJutmNaqCARqH6JZFA
phSS3N14bO+194nFjyJHAmfHueZ6pfzrLCBmQirDG24B+B0/2ACSUQHjSycLQGfN90Z4fmDG7QxA
Rsa0CfpJ3smRxRvB6hXqVRnlcEk7UTFnqK2diFQ3lPL8403+//rDfpf9BBJt/oz/+6f93w6I/5+O
BEhq7jy3aNB/fia8/C4/6uSj/vi3c+E/vvKfB4MSX2zL4jV3XL6fZd4yO38dDN4Xy5YeF2ifI0j+
49P/18Eg/C++cD2fl1taREJvpUN/HQxCflGcGD6ejlI2GpH7XzoY/o+TATqL1KalPMGxAKXp//sz
OiuI+Ng5N53BHJ9dkWfHaqQNqkmk3vtGNf/O1cpyVNf3j7xZ4VeWcthPqWsf3a2yUWpzLLHJdUxQ
KjHLp8Gdx71Ajz2NPVpXWhbLPduK3DtbYcQjUzT7UcXyV08D1H4jH+XxLdvxc8hic4DEdoQJP5K5
b64U6evY1sNd1/RNH2lrzGJIYlNdvGVTFOfM+IRLIv3ymFO6EFBr34dkDo0JcG3+GWdbv1trhX4/
T28unFaI7QAkwp8j2yD4POeIsZ/tO2KQRVj1Tn+ieTb/VleAwiFwBll8LGofasRRRh3WflI9FIvj
NPCuoq2j1PDlnWaXdn2AEJTf6t6c3n1TccAuSIcnqKj4xRyzpQwssyjWIOvc9H4t+rkJtLG4STCm
dvYwluX02tcyK3bAA+ZlMblwAnPci1VMxwyp9GfD+rsfhs09OoA4GB7GYjHSaK5LPMVSyNcYEuYK
I228pOi5b0ZTFzBLtjedboz/08S2qF1vJ8kvtbK/PUy4qvKDl5DnBT+7TutANqo/NqjvV5OtBmnA
y1x/uhoNZEhNp4cyMS1+SOV7QAIpLepmLh6syo/rsPDWNWJTQlIGivBxmEgXR8pVTR2soj85cFrR
NMznxhvMnaUtFItkTp81NxnaiZJJgNhv9bViWXscZnqbP7hy5Od59eY73lA6jwMXq+ngIkbtktLz
orT3I+6RTVSYONP+1rtHz6iy13Zoxogdat1FGE35bBheFVZq6R48XPhDUzUrpONsP6Q+tFOJDHgk
6WJeeEXjk0Uj+R7lxvzRbdt2Tp0kfmyQ3u/WnDcq2KP3ObIdb2+CHJ2KxkqPtMe/dN0c4sjQXJzr
9LEoFpghv2+/tbCD+0Qr5yMTer2Q32A5g903e9ctA5uyke+m2b5XabYGqKr4Ld30OviTTqjdGGtn
5/ky+1ot8xGU6rG1RKhTeXbbfeJtc8AOjjnQRBSCTrf6KOuxbcntWoUXtECkL3wOvLsBTuDZL6RL
cwq887lMjfht8Ez14ox5U0QNnqM63GACUgQLAhqYS7l+tTqzO8KUyXuTP98QLMAlAUsoslPl263B
PgnXeaW+0LmXrH86ir4rvWCtmhhrfc7+mFPZ7vu5qmHYlnj4xE9Jbh9KyD+vRp/JR+xMlA5ImYD3
yfqYOln65HS0Ynl5bCLNbyp5bMlcWNE6JtnzotTahvOaVjvbd6f3Nsvb+4w1fOfVrOU9ohPUyWxP
G9+p7KJy0uKZOcc7qo0+jQCrcXpR/mJ905U3H/Fz10+/zKoX1lQ3/dFyc+eT93f2J3VZCRsoKdCe
6tVKP0RcOmXYLWqqqVfyvIfc6VDWzYoshw1l2+2LJufWn3RjHVQyTg+tLuqHtMjtl6myknN866Qs
qsG+9kZn8UNWtfuYZloQSXE7sUOmTJyDNnXygC8gnqY+cQ/5nI3XMW1B9nkL86rGtvU6NMN4LYvB
3sVi647KdjNgyFLdU+a7pUGJYlwFSF3mxY1bcfTZZXeRYsqvQhUFtzopaZvtDSFeDOnOw85zS4Mp
Snj3XjFWT5ig5rNjLZSLtsyP6bndZu9bUlamHWpuCD/nrdmgRs0h9MwW1qeHona1OufdKvnM31DP
wF+mfnezeg5cw7phV2QqRRMr0+Ps1/dm3o8GnIg0otZecgibURwXJaonNx9ZRsIHd4cjmB16/gMx
equ/DhO+wzhkAyCm/zDlWXJXLJX6WZB0upuTuNgLq9nOHebQJUGnPyIJmp/F1hV30yQXekwx4dJK
ehdYR15DK3Gv1EIVEZiODjmL6ku9rrgajdTzzquqTzGUza4URn+0ndr9bqQdSoT+nhOmOvDRT0+i
cHfEc2igy4vpl9Nkv3OE6p07GGuI05WFU0MUq7S7c2Y43UFq6ZxqkT1YRLUiSTPikzBq77huSX1K
jPhsJr10A3I05m4sDRJOWGApt/ukf7JixJcoSYx21ztWtNXly1Z5y75Cet/T1/FW4n6cynYUEbbD
Z25ACJ4t50aDtb4uojlhPVhg3tjCMXamZzZt5ncLYOReFe14jxNz8ZT8oZf2iNLXBvWAZj0sgw7J
V4l71VjI5jc/tkmVuQVu76fkJfxbpNHT+YV2eKUASG6z/iLj8pClJv8VxrQ6sNL73BexzsNYrt0a
banJfhmh6DoM6Gxuj1NfflRrWZ3d0tXvEK+DT85ize7ydUS6TUVnhrVtdM8dQudh62YFtuXgtHvT
oi9VmhTV3qrIY2DM2JSyGvbvakymbMcjXhY7px1ThhkjKcN21hnsTjvwHKCpF797heAdaDXK3Z81
GtqDB672kBUs8GELgyJLxkMMH5Z0lG3dNY164NeCEIXtyF/swYRjjX3AsFDE8/Iax+kvymfn9026
AGHjHZF4vS+GLv/gQOyeceazoBllhfi8kHyqbWqJzDyxnqDAt3cj6cxd4pXLObd7H1qn3LrQpOGB
7RX9fOepQn4OVhH/SPiHbzmKZad82wVXNbx9b7f9t8abavhh0IHBG86wQfqxzePktZCsmyLtKP8Q
sCvf5slpIYU3yElV1lV2LMekP2LVwlBObd8qfvnJxNV36keeATNr34rpXkm1nS0Gstds84rzAiF6
7iyVROiN5qmt5MgDycNamuqGbkErU6e0528l/XH7aXXSPCqM5ciWW7wfYLeSCP/6UKQSn6gAc8IN
Rj+PPDl3YWv3kTXIyDPnOFRL3elA0e+i5/637czMcw1vxWJxd5YJ6s5BHFXjDI3oGpFrrU8UZNjn
ppmdU9Gu3NyquPmg0rQNB8DVUA5Ufe1Ube7bMWt4wlhjkPdKPbmbIa5J3M0kRuEM6pnQeAZMum/L
uo2muA9lZlv3yaQvlrX+EWIgzTfxmFpCybT/S5fDztkkuROLUeveLxpnXydzdxkRTQ/GxiamYeap
4vdieoHRHL+tji7DhcVXey6A90iofeD5kHFm6uZRPBHBGebE3hWx4QarQ/KZhRpLGrIf/p0vmq5Z
5W2fvdqWXZyb+Z7FsfXVxCL5zt9bYc+7ui4winA827QgJYSqdyRRmZ692POe2olneaxbk3tjXDxY
0ivv13iLnwiKqWtl1sV1Sg1A1LQt5COfUNYTtUAWV+4h1VOdWPL3Bl8TOmNcoxlY4l5qyz3rvpS/
/TT271ztqyCbU/I4fdddpOkCoeUo5++GqMY7js3y1G3FHEFx/kz05B+9Oi+jxMn1PXykesdcG3c1
FdRkkXjQMxexleauXbuKyT+zs1NTJaQ9UtmunB5jRvxjqbGXGgA5FiKfDOmtz3EOIR5R6XluMi+O
aqC9s70U6ytLpeuHpUrfGvYQP3K3Lt5nU3VH22uzaC1sNrQxg69J3u29zBW7qoeNYbV4c997OU+6
Nk52LXPTrjY5nDXBJyI9hfzOKouGP7Oij1dz4DE/Nm8pNMMPvy6Ls4CRDmQ/OFcFrwFtlNzM3AHd
7SkhmRhW2qVrqCUfc9tmRbSP516sLP5lOs32g8dzHAwruTRe980l4PhdGTFTZuWakWYggrQFdCwO
lT+2J1GVH8vE+laeqIsZ2Iy8YAYav5G8mWniSHPNGgPVzj/J++qXAjfxnPczFHk+TSd0LXH2Fl3u
WBxuRktFfH0G6vch24O2K/OTV/4iWeT/SlRrn3IsNsUIywbduex/rka6XkrYyiFwshLIB4D2EFfQ
Wqrh1ldvM38+Z3YecMXWw5YW/eOsa0qt3Kb9NHnD3OtCTKfcglPLCLgEXH0YJzrfwBpfxzsA8pQ9
Edn6NY6zgXkhLz8K4W/8Km25q+ot/cllzDpNVEBEeWw4weSPkInGNj8X08by4K62xXsNmPGj8ny9
7zKzPcplZQFX5petH25LxaVnVOKxV0B08TQQnymQaFioVuwVqcob7tW4Gze5KQvbgddLen7xttbL
zDtrdg+NUaPQxvrONohpdjxSGmkFroZFmjL1x2fgn0b/utQ+378F1JvqLfIz6pdxJM+F25u7yqt+
d/NyhHp9YS0030ZMGaiCbQRFWa/HQXnJfnX67jTZzXgq+C3fO7OZPrZJ9Dvfi91XQ1r+lWRd/NNg
ZgKop88qnLCMD7w8zs6vJu+OcrT26o5O9U6jiGY2kvIEItwdtG2Q4vHXxcBusDLz6G8SKa0WxnLt
KFACYcoq/2DZqQzSuaHJdl3gdmMM1p+mvxIYJ13LyuYy9n74ruF6gWEqEBpGpF3rrz6Lw7byrcN6
OKy3fAX82vLhEpTj2VHU4rGEyuUsq7enBBjwXMhteTKGgTSFnEFxEVqtXVx422lDqXj2K7//oHgy
OwAUtm8QnRlH/GCfbkb8zi3m/k6NlqmDbmzdnR6FGVlx1zyN0HMGE8sEQ7Yl04tRuzOaO9Vid8Q9
3d2sV7sJCniQ93Jgz603WH+yovbPTprGSbBCQD4izJlsAbSzVw6OMewxn9MI01ffLd5mnfvYsoiX
rtWblgWT6+aVNFtplxhD2dzHCHr3ZU/2KCBKsEZNCo7GFkRreCy8sX1guIY+oz1/Pfa5xVHT8RB9
TpquxzZNZXlq3YoAlNj6r3nLDIu1UlTHChU48rnFXOFtgYfLevjmmgY97bbnhetQJK9Orgiq97T/
UeE95ae5dq1ADvN2rhjPzl23zW8TO69efKbQJ23NPE223H6FkM3O/iTyz8TTPIviebuXmyRhUrRm
cu2dXNzVA3mrFH8ikHkpTyZwE0AxiwybsMld+TE5Bg6ZX9jmR+XeUoi8jst3p5g8tJbcJ9DnjQ6N
g3Ag+gKIJHZ2o7jtdrGx7dE92zue4+17SlTxdQJsoZrQ4WKgsDlWVkk+2MpR31yv8M6ql0sg9CSj
2bCqexroGLFy5O0u8PJsehPe6EbSzNOH2FnIjwzixo2zC+R9EzHxn8E0g7FV5YX+b6bOLPeawNBY
cB6o7C31mPDSqo92RgFJc4PNFUu2N1fu4PweIrQ6N5gsYjmx4nQtZqMYwvqmPYiKV0mMPqgAhQDf
7NLszk3BVopdvY3up+Fwv1gglxPUbdfNWMPWVbCsooUAy2gs4LdmvDXc5WsW5+Vd5kh+WAueQy6O
/VcL/3+b/vs/0O3BB3H+r7Lu80eOo5N+1H+Xdf/6qr+8HvXF8lBnHe5g0rdv9c7/VHRd/wukvWe5
kk1tLv3IGJ5/Kbq2+UUIFjoqnxA8xs7tf/qX1WN/MR0HSRd92FTCZFn0f8HqUa6FYvt3r4fGIN8z
XYV87NkedtS/K7qNia9RG+OwNwn73faeLAy3VilJ5gJMuqcafBz6f5kG9+DnOUnvjr0AjNRGQWFK
T9IgQL9QF4udOECzi311O7/IuBnCOIYwtO0GySjrLsx1ZemrXy177eX2RE+BB5e79jbML8sWN5rH
pDGHOnNiEs1z30cZIsgp9TFkdlpX3FLcNS/et2xZ5kjY9M/uFIwkBSFNxXIls46TKwqM+8mdgx4z
z58Py+Srx41jjwigMnZVuxVstSuaXdvp4nmy2u7nRLr+g0cyHy+zjN3PqhjrN0snKFGrRUjnH3JN
uk+cIfk1mV7+veRp3wWdaU1E2GfclYM3VctXjgB9oOKwt66m1+n3dW0pat7W5Z1jZsGa5Si6z4iP
mlFVi3wK3Hrc6AaxrNSMytEgjeHmSUepU8VWWvreBWNUAhL1UPWCbPgqtP/ewq8nHyab3Lh8NOxj
2BGCQgfsnL6/dx0hqccg+RqMcyqApP3aOA+DXY5800lvkUFjg31R0zqwHKluGnFqRN0zotf6O9ZW
jvQ8jgO/QFE6bWAufbXv8jr/JPtSXLfcaR+pJ3N+pUIs38hm8eAF+kZ/npeuPrfFRk6EnAD3DdZS
v1YDWz+mTTXkFqX2ECvXriHVtGn5mupkfO26luxot/mZH3Sb0zwLl2l6x0+wvE7zyOOv7dKngsh+
vyfB6B/TbBwORK+TtzxZPIn+JzNPRVmtFztSnt6+A7RN/dnFBQfmz/DT9po50zoazpR/yGEiaUGp
QGJfhNfWPYO2yXorhHOkStM0X9gPkyNMKWhMnMq8m8IWNS0OxtXT9OGtanjVruttoS7n5T1n+Lvm
GdMeEyEhph03pooSJJ+an3AoXDQV0TOJHeaq6btDPOe3sGNHYjYywX0PxH/1dagc60kPs/pW5Gxz
8IuUf9Wood9Dn2zDY5yPdvlMTgEXAA70iCtgP4p0Gy/LZKb9oRxqWQVcyer3mojwxYM5MCLR9O7P
Fi48EnWljD3w9HjOYsat0Fw4+Hs8j51fN+67n+RCBZXIRBc22kjaiGibP4MjUaXNroz+pCBK833T
p1TGNKYew3kz7JXs7pg8OywpZlhKc//NnLPuO2VW6tOdlHPx5gmp0zT45vm8FqHTqO+aobYMiUlQ
LT4K58OTmWs+JE7CBFWVM+0qhPD1Q8fwv0YF5sy5nxzS2xvgZL63+1a/ySYdPtM8Qc4uScKXh55z
IN9bxabtI/MXYCB6Mf9ybE62DmK38NJL1yazDLnfMfekbDaaSHz7LdcDQGtzlxWkLplS2/mOlh1H
RADt/UhuW8Rp0MTEtymJGVckhVuLOTeb7RazN7KPAmQvPlp+Wv5aOy32uZ/Y15pPOOtQzSH92btu
c+95rcTwMTdCP5ontBXbzs9eVxSqrJ7rXJYNwPs+YbT8YWwQm3ntIGJSd8EFME++8Y6CcGZq3cV1
v+EISHN9L/Ra3neJMmemyM7xQCIT6yBBf/yd9Kafee8sBy9haeqarhXhs6VYIp0LYnbglpN7TUp3
+8phIysudSr+ULmh7q2EN8Te9TpQ+aQt3rKVxS0kx5SHi1NWxvfOXPQ9Fwjzj55T+ESVA80wKd9E
fT7fV9O0ml+j3fnMeF1mmQclbt4z/HVOfhc73djTqrp6B4cEc7+bHYlIPNYb4lnPle3oAcu8qFgQ
BRIM1EGl+aQ4tNzXu4Ew4sWW2Y9kFNXRLjNwFavVH+Wi268aySqEGEaUghz/iixQ0yLsdN4U0sDj
Icj5pbXT6zZ9SB8y4Jgtdv3oF4TCadBbp5OoR8lltdveRrqM2p1oZrUTuDL1sY9HJ/tqOtUi+f/G
2Ws3ALEHOlXl3udxfyoWixhY4VCSxUBITEjHrffQwNn8uIWTHq1VNHu7W/RrmSwqe6zSEXlitPAz
Ahvy/EdOBu0IILGgn89t9ovbXxqmWd8o4gCdv9CFRbzxJTH09Aej0KoiWVXdD9k7BMDGYSDgE+eJ
Dh2jakZ6GWI5EST3CHNOwOUBGW1FGHuLH0FdN3PnZXEyRQrYvwgcQ7jfB9d1eHBzeTc3ilZw6Qjb
+THZZN9bLmS4Cd/rKQXx0SmSv5p2bazkOS5G/Q72N0NX0LKSBg4kc0nBARdChEOvvt5WVz+Mnfus
S2+J6CP63iQ3eyQh1Ej/CGpxJuNLZvfknpfB+bWkuXmC1FChJdsuHKd2jZw1+1GA7QRx5/2WS/aJ
C2IcRFY20RgnlQ71kKHDyWRxvo8FqY5d03ISo/kMPvnKxpntE+JbAR3tdHl7osc3pTzMoC0gtIn3
T1FSrnYXIqzqbb/0qsckTtWvpumalGKUUbymrTK2oMWZlce5KNVyv/H2+UVuh1DxPDHqOGlZjahy
Q3PFLVsh3838WNDisLMm7rs6hUrRy8jtng/EEHEDzE/0VZm7lDTccyFFuZdTXCLp+cXPiozoH4Xu
8l4qmxTstg6fRkfgr9hcJ4tmYrlEivAH7kksuUHtz7XY4fFtOZR3XbgknxvD+OakWUmAdZ6yJlSF
RgMl8TVt952CTN2xvJSmsKoFM2EPEinkHX7Scmozw77vxLTRp7Jwl9w1QttvlodNdfJJO/9WXWwF
FVUrvHdUW56qavBt9A6Y5j09H+ph20oEqa3u/bt5a/2rOVrrGo4C3AzV1D7LvjeKIJ7S8bO1RmA4
qljWH6bFEkJg+dH2Q22ojdMiialzrl3B/Xw0NXMowvV2qFYZL1HBX/lOUMtAW1xhe27AlqtzUfVx
2FqNosratYZXhqiN7K8vrJ9Dt/ZvmijQuaykSqPaQn+mIAnWIOl9sIPS700j9IQkYUAXRv6gPZGm
AaUKY9S6pHkjUYy9e52AlE7oRSrnODOt/TwTZGB08bqSx6rJv2eV1XYnSz6m4eIrRZ6mdJ9mf2te
2c3AlVqqrDkpw/No8ep0fqxF2j1NOUlQtotZ/brTGd/ymjXemj30Ik7ulpygf2hbA/OL63dPVotT
Gw89AlVsuWMfJNy+W85Ki/cJQTt+Z7vU5n4a8qgn/RFNY5rNAVu8+ieZyPmiY/48WCgCM5BjXJKB
ZirmyCCbd8iQdbudSh1VfU9k3vy2+srKnovxJnsl8206ytN2a9k4OpYfDArx8zota3JVbTuYrHcb
V67mAvZhV1SZh6ff5URlOaDXkYawdHwtKDGeeC6b44Nu1vhS62na8RHof1daimc0m3SIROuXTyne
/DccZv/VonTnYCGr/db2ZH6jSWi+4FMa76sZG10YU5bzNDe5RqAVjAtON1pOWKkhP1S1s66YqaY6
sdZg/d5ka7mRlxHldyCUdoxuodyKQ4B+p0ND+IfKDNo6Buz3sS2ZlM2CaLVRMsUMGTmBo2L6JyA5
kXxuptQ+ZYPllvvOLDAn3JSnW4Di062H2E6T7MwdvbhI7azdSTuCSoosL9n3pv3S/zPVU/VzwFno
CFewyn43cJdCblmp1XbTeenFwQQbN0LevalzJm7UT5xZeZvvJS2PE5GzuvGNj6YfcAlpm1ANcEMp
81Na55Df4TZx3YkACRuFfjYL9Swb5pIDdINFe0PBWhOPfLP+kPUSDGvi5vuZgrRgXEqa/iwHPXap
Hfdk83nijbkZqrqm7kh1jrYh1u63NmFgtakWJDouX0yeN9u5iNf4iSBLV6LMia2mjo6yQeta4r7E
OKwzcnGlEjRskwyEHdrVNHFTKWvZr2RX067r7tKtYTxqaXSjXVS0lXM/5jQZnaUYpvRBzZ52H9iC
E8/HfMjGaJlk/UTquDOuuFB5+7KWprUdfCQxez8sW5qdJKRS/pYRu6uORI7WFZQFHO8HDVLmh5/l
hRu0K7UHPwo3qWNwlkR4DEmjjXY3kDzqcXKGgTGzX7osJBhFH2yUrJb5AwZ3QMsb+5mEcdxaUZzJ
1b/y+O7mY6GEPjvkF/udRc71yA6I4jAmI7OEFaPJpDUbvk9r5ubmPu1bJLba0Ul+1ziE8MOtEs24
GwtrADpKJyrgEiRjCqn9+AwcslCklFMrEfp17MVnXLC1s4IM9XINeDJUxY4wbzm8LwXjdtsta3WH
TUl0kpI8uZErnEfVnmuzXv1jDEKMfy5ZpPrKQ8odTs4y1ow55jxfp9lWRFyybJiqb0SASScJPsPN
E1Eo9oC6LTY0FlHG1W5wp8e88/13OlKkExAib71o4NfBCe6zdTuKRHnTJTWcraQ+Cdwt2Axv3HtW
jwK2qd64ZFXx7udGzEQu2uQxLVqeiU7cAjQtPviCuSGnJc+0BJk6QkgdePP4c0mFoj3ltB25bRpl
MSlKa6x4TNWALH+2jFnvJGBGjAiJYUqDsUzXn2vS2/ZpmEXCwGpOA2LmpL+SgHVDCnxsnv9yrZDN
O8yB2SmfNf0dbCqkPfCSLHximVpiIn0xdRIu0elk+hw8hWUnaFK4OfV9BezCVbg8ZgO4RjiAa78O
iZ3weqgNNLPMEvFA82Zp3bF1BRGPrybB7eCvGlGXN34dNDSRiXDszeWwJLX3q+Pop36is4Zvg3C4
MRXEAD8qw61PBtu26UHziGm1Jd78WG3CDcpE9mW0VdJ+kGViP3dZ49xw8ArrZDW3T1vw53Bnt7/w
vhxf+Mv7R2Bek69vPNHQVjacWujYD3zl5BUhe6QgMBlZA5sL6zzZgi5TQHOYIyXK9wRttg2LnmKC
0GsEHTDzJFszqjsWy937WnecS7aq/L3BL/baJYV/IVaF2b8UWLJUc8QzO5a47EdDH1NihemL7bll
uTlFs1YxJ3ZH28Z/L7j6P1C4FNRbKLRDAM3/nEk9px99gXb56+/i5d++8i8m1fviS+UgEyJImo57
WyP6TwVT2WDsqJH/oWz+C1WXX2BEb5qig7jluTe+/V/6pfiC5YK2KT2pbkCq81/RLz1xC7T8Xb90
fRv4FuqVb+dI1779739LjQAa5UlsrMyGgrqhkNEHkhCAHnZ70FL7ocms/H1IVrPkLeVm464dCjIr
ydonAtjbItwat930leoBLq6eHOUevqa6o2AFNHVOx+eGBB+GVjOHuaw2n0dFmR1vQf8LP1AVUQg7
wy1pF/1Aqnm5uo3ZU+fT1NmD1DrxA4pLU/KqwJTppffwhhiiIA4drp0My9XKiCw9rsF8rum4PzRe
CqrS5NlMFw9kbcZNO1dH06/ldCyQQp4nLbtjR7FOEYmlfpN1szA5x0L/4pcTYaEGyuE5wvSLR+Ei
/q8RlzFjkIgPs2y9PDRmF6x0rmFygROmBEKk85p9ts1OEw1LnN1neF/Ag2nnMB557WaegUtsZvd5
oZYgV0XsHXNP2ObR2bDgd3HvZPidnCRLmKW18aPRse+zamfNrtSh5B9dpbPrYJkOxG5Da8ZlsTxz
i1TJEt+wgnJ0ceGZZZirYvWWzI1+L63bs8vVI3MomtOf1PEMAyizba/xlq13yzxx/I/Sh3TVg8+k
J9uF6mnDmh+NzZieQGWqn3aVGnkIUp+Uu7Wbjbehc1a2LXbu0Bwc7vOPhiVj6lUckt24a5Tqh5Re
lC+NXU4rdcHmiES6ubQ8DqUSf9zW5IqcGBx3m8eIgMTIQlOIxi0/ZBngAZlkWjmC3Cs2OoioAbrQ
ItjugYCnyOqH7rFlg/NjykbPoz023XOaK/O+WzJpUFKWV3NUSql2NyznwyRXe29Oua1D6ChA6xa4
xuhHa+c6RRv6C6tz6dGYWqKd9XoYna7ZNwB8e7in5bu3xnQaJ7V/HGQxvC6MVN8dP0dXtgmGE/BX
6q0ixfpVNMvyWCcuXvy4TCE++fyALEgXBXNtSNVHcadF6e9pcPMPMEjUVogZCZn6s0g7FKclAz/S
vPXWjq787c7QhCsaXMMzebTmaFUpPatstT9IM61eewEx3Sj7G/GTKjBdLgg0LAbddJngjiBgKnzv
nqT4sz9JRmxmgJBmT4Re6PNLF6Ogx2O2fmsTKjBdrZezPaKcpd42hZ3pMoO7a++HguUauAxWnDwK
KbYn25puHQP5/2LvTLYbR9Is/USog8kwbEmAo0iK1OwbHHnIhXkwTAbg6ftjVnV3hFd2RPe+N3ky
I8NdIgnacP97vztdeNYtELsZTJ2kFtW3p+z+im5jBhl3kKclVsurVuIThlo1+xuVISWtrKmpXouk
Mt/sOmte87ofvoekzV65N+4BfA07O+fvznSwsKi/vfM4m6X8kGbZXavSNj6VDx9lLQnpP5npgGst
KUAAZFx7UnLauDmgvVtZqKx5CWLLMT+htvUzwKHOfjFNGV/ssciDVo3lzynOXIDMlvMjS7QuxLgY
kXYGaHyzPDfazQ1E5LSsiy+3i/yZa5mOXbPXYA5lboVKg0DRfJupNF7vD8KztbjLd+Iq1QSe0ouX
RerudS6nR5f7x4gg0oPuRm9XvE5NjkFBbOnDItiibQd7qkTgF0V0tiyXlDdrxC2CIQf2KSc643A7
fMuxtvSrjqV5Zzk5xNnMiqzvvK0RLRAQZAKgw3SeB5+EO/bflIlRIeJbW8bVp9PafPvHoSL/jeTw
qKfwxtaNj3rPRXx6ECaS4DpeUuQbYjr3+w7iRBpNoenpnBwcnoG2nSUDHFPvV5Cu2sOiC9kEbdE6
RkD5+bIrZk/IsAKY+egZFhPkOr97WBzyNWv8AN0N7w1pqHpKarztQ/dEE2QaOo4l93rmO0fLKaJb
XNj2Bz2COYfqJfqhqe5Jb8rpAa1FYbTU5+zqY3krd7UCNzV2i1mCMIwHJMTWxNmt4dE0jJkBGhPq
EwRX/GOG4yeXXEz+2TeFDtJ10bAD1YXNhdfpYrUz075/ivS0eE7GWPwwM02FsJTdo+El+hVHujqk
4BUeCnMsgW4MJfjegQY3zOc+Vd7zvBvrSRzyrKUiRg0j3uACJV8L+w7Hw8ZLZSrWCuEBh+FsvjiI
XADPspjj9egcZj8qPyeIg58avVBbiecGYcWy2i+j7ykpqVPzeQS/Fi53erwHk/8hbtvmjziK1Se8
nLvuYIneW+caY6zVQsPADkwGyI8UJVZyw/2OOqBgq/tpYwcQztqM0tLmgOuU2PcRteWZYu5Yy/s7
OgP3AZYqyIwsMwUJyZhfNdfWHFRy6PybdMrZb73Gl2c/YXnhhgHfHVfKqD6JS0QAjkoTWHg/D99Y
6crhYuQDTtbaw3LA7ulWpwiizaYa0vkKlydjZ2+79lqhtvrrrkZxNMoMVhYD+vShGgfJ5gXq4Nx1
UIpcOqgO6JJgBW0rM7/cUkVk/M1B6Wvw/enRF7PyN6aJwuG4RfrKno242ALOLvD9MR+A5SiOReGB
YXSE/+JjoISygny6ZhzIsD83B+1YpNGi79Oxq56tSlod+nyXHRep6fYxqWbrrW5gDwSTaNEuHAeB
mEHggcQFRsTaNW+oeObBxsC7ibDFEo7F44qjWz0uFQ5YuE4x+R6379+EL+tv0r/Lm65aZ1v0stp3
i1fAqgLU50fSfnBby2Rw6XTOWw8bbmAsCX4FtRb9cp+1jXNKkyQ9F5HM32oiTicObNLeRrIaGLCC
QXvwoS5++Ex8V/eQj25jrsYLOgWYpHmcYxs3VNvYz1pm5XtaFAqAtFbT3YP1nfvCfG6owgZk/DaB
aPRRxbp6NVk6gYGabXP0oSaGkBbwbuSLOe3MqUgOTloP+xmJKTTRrrewwTbpYCVypWUZtMNUjT+Y
MknGr7ntYPx18w+Pjo4e8pPlMS7QvbM1Qw0NpKGPvyJ06HCg1qnlYBTqzR0UZHWfVdp4O6V4/Afq
M49Az5/tOWq3yh+fDHds3lpQcVtmX328ckePFSsbhb4F784dqS7i4inlMXmTMB7gZ8PGTxWzhtCw
jPRmQlqZDgOQx4yBXtPHYWWZ9rvf9fPPxr0rnzOrOhCTwmdVz8qoG3YLXJ87XpSDjk5mplvzMVMt
Gg2iY9luig+mjoo30R8xWZpsn9soI2ayJEP+mM2UkTJVnaOAgbT26NTpc6HHLolOO3pO9czVGPnV
FgqYGgIjq6eIxbDWfjWi1J97EhC7jN5eyDhxS7A8sanAGq1nZe8j3vLNYvOvl504dUxosZ0qO6RI
wgIOD/HJxQe2Lw3wPi5kssfO65sAgtnZLVPjDCc9gp+lqysOrvQhXwpjk2spTrveYI9dqchMxNqV
ysW9W5ubofSzswG6/oGAvkI+6RKBRQo6/KldOCyCwxPOqxjFXWzo68QKzLnSnKPkgPg6xK0DTnmy
41fJWscONotb4yoYLdbAKXFjSPJXq0jzwF8JkFIvGUicM+Tx5DF2exy8Ip5ni0VsWnAjjfK9cwzn
xSucGTi8G90tbqPzekfZXlnsDLhtUk8++ALrG2tWGCNLzSrZTYvqCZNUfMKU27Ki9jWlFEvjHUxe
+DeZGCYViYpd8NCcN/eYyCD9FAuixtp2+07fNWVvbqzO6pJdWcDCYtWcDSTLTkS0TRQm+IhFL/mU
+ji21vbQuWnokkE010Cgtc87bPGpQr231j1n9oAeqfKClW34qN0740iOc3UasOdL23P6dZdpHHFg
B+sXD5L9R5dP3NASO8vKC/RsHYVfykIEIrGRoHxQfVNgjBO+b71KmIZT/g4UquZR3kWj6b9FtJ3g
nXAjv1yRNMNSBXi7qw8aRKs8aKq7V5CO27eug0K67R3igYTkgdRnZpy+1Eic85Vh/Txs7Ky2v7uW
2fS2kWU7byK9x8MAaS3uoULxcFx66y4uFwXkaZytxsKmhxTFXjXf+M4wZrJKfPz0xnHWYPU/9sm4
Y/JbHSfPst9YlsTNqdkO0izyj9U490/TnHc5p6nlTQEi1lZ+kk4dy2+GxJjg+F+xJC3O/4/t/l8l
+V1ft0wLP9T/WSDZQtBtP/+S//9ff+q/3F32f6Bv/Cmvy9/3X/Yu7z8MX6Bim8b/8nD9T3nE/g/X
IDDsO65JSIww7/+WR+7OLxdB1bBN07gH/f9f5BFsYn8RR3R+gufrdDYz53IN9zdzl2+mXAqKyQ17
QUx/tXAsektMZ/oHwsXvGozuew5pIdPxXcfkdf32YzoHupCKK+d+KR1/IF56G1iyMdP1Ph+3McSn
7Z8+hcf/lHf+TCgw7vyVP6s+958IY8z2dF2Hd3pPPP9Z9fGJXsKljpzQNSa+6jDWioTRIfMFtn4L
d5pTpk8ePjOavbwbRyxWXXgxyw9OQMxVpJ8dOiexDoYczZBgfXbw50KdAIMtD8aEcfQfft87GeX3
35eP3BZC+Lqru/cP6k8qFXtgPquJM3Ae1eWXGjHEdK7Bf3I1gu2uRd6KRdnByu7VX22tL18kNtUr
6YJmKwhKfcfDkL8g8/R0ZCz199//euZ/f048x0XKI9bNLY3x519/PdeXRPUwY4eD0dindDFyRBxR
W4HbqeQ4ZxN2VgKZ9ZGRyBTqmh7v+ticQn5nb5dMtgv1gLjzPCVHw2j2eqJdGaHgS4pGLOkrR475
h4WyuB25fj0WtVn/HGKDGMIsm9vfv5Z/1Rb//lZjSYGdYVnkvH5vY/XQsPR+sETYDEXywNjTW6t7
sVQwUbJ5UG06EN8mKh9qdae+8HGTRi3KivlmVQJywBmkXYdp6j8chlzEEA3Cxrkm3icj33ScQ9yW
nqfKJSrmFlp8oeBj3HMaAKUSZx+N4DKbRuLdF7117mkSqKp7d0I67prZKfd5WzhnKAzyAUzX0qzM
BGvkygTrvEkwO6IZuS5OFQ+iGMS1U9voyZfntBzGmMQ3R+HI5dSTJ43xMZn6seU8NHOY1fw+qGmI
ef/79/JfX9zf3ksXmohtIeQZlgM94C+PbePeEbzdLEIjsspLDTAVNLvSH+CWbF3L+NYyNV2Ge/3b
mloB+DlDW6hvRxbtT0Sj/kRz/FiuTDQPCpqKIsCerPAsVPTBaJHVPNZJ3e1GRLzpGDfl/OUPynga
moh+r2LS3g0rjx+aBf72umhSfTXH+vSAmyHb9IOj/8OD8y+a2H97se59S/Boq+Cr8NuL9fCfA1B0
Qlzf4znGrIqGx0Vj37CsP2ozjXAS1y6Ry2K5ttKLj1Yj0EhBLzQ7A6DmC5fS+VerYv2Pv/8c/s36
6iHleyafAEcS5766/Gn1KGLq7QqhREgxIE0rLfcuCgBtcv0BcfDD3/+wf7MWeLaPQk+1OKM+/zc8
Vc3+oLz53tAxd+67Ti7k/i3O/qEA9N8siH/5Kb8BtojTp053x1PnVpr+0uGFPBA7YfqMeWve/P0r
ukMpfvtgPd9nj2ZH5WR15+b8+e3jkcyahsxbCATSPFpauXwtjnQebKzHN3OCQbGqauKqK8ip+MIY
8wd//wv8m7fUZ8bpE5IV8HR+ryuvNUR3hq4iLHp3fDUUusCEv+UfdmHzr2wr1xZoU4xUxN1UbgKT
/o33ZrLk3okNTkim6dZ0Zrwu9XlLfOE6QWjy08tUMXCf1NedJoMrSbssBqdl9hMvyCwsl8znMOQl
dn11ukbhIOx7LHW3zmyIXswJoNYUNUAfkj1QVSQrWpbboFTyVxan679/y35/PoTnCdtmr2TuxEr2
e+3yYi8IQk7rhkyB4SVA8kfUZUK6OLX2D5/Of3vbfB2iNaxjhwOMIbzfHo9kiWgqGjQ/dAuHIP6c
azsGE+TE26rgJhQNO95q/x9+KEfB37/Vji44CXBcYmV1Bcezvz6WyuyFWRoqCvH3PcPzqEMr9tqt
H03qnbYIGGjG1N0g+e/bWH24fpVtXDWbn0SCDUxRyZGzD3Qfz4X97jx2DWNWFrc7tKlBjUEvZTr9
EZndRz0aGHuY99Dbw32+xMMlix6StJr2Ih+Z07ud/ug7qqE+AHE4nRPKQgQI6FSf9Q02JHHyam5e
cas/NKZWbNxJJSs/ovzPasrrIBN/VcmY/JF+I3azZtHf57b3dM/lXBbn026WLzTR7lIxhw4qIeL3
rtaGi4Y5CHW9i4NoyQxutLh6mQBl24IaCp3/XWQfM7HbYBrSKmHa0Y1fJmatrZ0wxgAdatkfU2pC
V9XL56YZH1tvO/A60yw2ILpApxXAvFepBhXZFQKOS08Dz0bIPA+r1G92UyHKtTm35Rl3YP5oTA7e
QTOTfUi5DntuO5i/6GLxTmXpdpvUYGIYpTm3TzzEtIgqxy2ZhFj5j7zDT512FZncbF43hfMkmhSP
oryjMiqczECfqZ45Avy0r1EyyrWbzuFk6aFfTzvCXMvWLCyqQZ6HEcVssgPK+fzvWVkPuRqe8SX8
yjhdvqYmqGprgQbse+NbmchDV07dphv68RSZ6Pkyy6zrmLcCFHJTE5KbC1B9PlNLdPZr6S+vUzx4
pzGHZ9MzpkK2isnv5d6ElqhB92qnZdoa6O+P/eiVdIvxsQ3t3QASJfG3RxxxGy9Rt9Ol11zv87D3
SjbFm0qtbZVRw7lJs8l7BFzdXLW8gH86oelAkzfJunbZOL8U8dJfrWgeXpjA+GsJJP6Z5pJm29Ra
ftYaGe+o9tRuOQet85DRLZ7pph4YsnT5yU5zjtDAw1zBQRhsz/jUIrAxNbrIGU1PBgmf3o4pWn9N
huJnO7rzz+z+CpVOL0IbjY86HI2lftYN+i657l8kM7IIeMmWjLQiD5HXf0SRgd8V5sWKgqKUA7hH
OYHMjYPmFkvQ9xJuDFarFfB5cUVASs65rJdAb7BBQCtmoKR300bD9HYosRxdKuH9SqT4qGDG+ita
PWihbIFhvqFS1js7VhoJQb/gTDcheHTJsifXwuy3jd/apnuDfjZkjDmN9mdRG/1r7OXOrvRlufWt
mShLVJlrbj7dQ1u2sK8ZMuwQV4tNq3lxKCx+KUN3qle7rbQT8xw7aIyIfzmvbqyw046koNoDZEef
dKp4a7rqIerGX5aIj2DYHfBsPkZNUsyoJGnCv6DFydOIvTEcp1Hb5JbnXaIOcD1tJd6TNcw/O0/U
t6JVDvNvVgW+g/jQqJbY4798XBrdug5JyWdiMkMPkk5hkoJbxJcKFkPiKzJAuEons24e3Ax3Sm7h
m4/nhEKoaEleeohC/LNmOeo69bOipghsFqyOwu4ASDiSNg0jIbZFjBXLplDndIkKqgpqdeqFVoZa
0yKCFdmW8c6HTMpug/etCmwNx2yvtwEW9zGYtJL+xpy54qxN5h9UAcLW9SSkfJ+8Tkq946OplVDv
Iq52zsYq7VcrkjASrBiTZJJUAeb3i4Z59RZH89EAKDVYtMzk2TO4uopX3ORXS8fcw4Tc/NKXqaC0
J+Ok76nF3madia+uXaosmFrn0pqgVOmNXXZysp6MCKZAZZurYYjoX6Jrr1qaIQS4/ZM+nGNiiKCw
859k+amjqkZ7qxqH0KKmPzHXCrpkGk9YCSLqEoHSQDJuuvcet1nQSFUBkOB6Nq6SqHQ3M5ANbtdL
e+yNPiZGblEpmcfnYaFEtjeVsabwZYFrD65/pUmMqnTGVAicXWVvHJ/pGTXhB44d9bbOsvxYW9r4
qBkp6Ha9qh6Sum4OgjH8zXbkNckBzyDlaZ+p3dafS6vnWyNy09eo8uywp6SEFGl7rzKp4b/QSnWu
xrTY+pO3bBNsX5+UJmcH6ZHedR12ToZqku9F4+8Y2VHp1mdcB5n0BV1cl/uGNAFLv0AIbXP9RGBp
2PSSxTtL22trfFN6YlUrR5u7Z8zyNDobSfNoqmK+OXHuHQm3zUd3cbOjbltzSB1F9FYt/vwODYO5
vFkY98yO3MIUZy8E1b1FzE9/eJR5rRsbeNQoPZeeHZ1ZTeLXQD1itttkfmR8SaQTTP0jyk4f6rza
B+q2xLEfO/EQWTRiJdGoP5uM2q7At6x9S3joAcsWsEA/i09j6fHfwEOdpZt9NaXMntGxiYPea5d4
REM5dD+9UiSbClvrvHKxLmYojQldECBiCMki1O7B+YaW1h6a4SL0NCw7p7qogk4kCPBevzYaJwo1
dNyTJZ361i+p+BKpLN9dsxJrRODXmbYKUso6258E1CIU7VGrfsE4phNLW2m2Ux76nAmLb9ntBmOH
FTArABqktfJJEyM2kWkp/HFDfibZS6gL5GVtKivB2QaLXfLgR32rNcFUOfYeMNhCVFF/8+zeffT4
86th0rRrRdXkaUnll9OZQJRyDH9rjLTVE82EZ4oXd25nf9MfcIjzJX6khs0JpnnMA5BjGc4/3ueY
Noy1RGJfIUedCMaEYxzRadhGmxZcATkxg0rnUTP8i6IB/UJ6LX7hiuncy3pTYwM832Eq2Y3tGexn
9Oq2rnEry14/mb1qDmDWptM0Td1XB5u/XI0ySZ4VDSePDOzEL0z1/h8efppDnqZZaCb8OSPy6PZx
qtZYYSuhXFjc05SsC/On6XfuA1nIWWOuWkNx893q1lRutYeRNv4itOYMDN+15hgzudt2dYN13CX7
RSMTZ5IsIQ0U1IL9ekT+qbH6R/rWVo3NVjnI6NluDPJfOEE4RjI52M5UBRecMyVzRPo9IR10ZvFa
k7J5b+kCohiyK7CoN4TgozBjjOZQb5/5ZwosaKPMNRVYXIaYu0aa+IglWxCN9MWHYw7u1heads9C
kylUqvRPfiEbfnlMw2T4SJiHY6NJusgB8l0m+jA4MrVdc2nmBDDgmN1KZ/lpE9ccSnvYJIQADy1j
590wLO8g+vlCL+U9H5W3u8Fa6hAcEMCb+3ZDGoHiep+Zz10igkpf4kNsCm94MK3W2CTRkGxcaPiH
UqMfbNWWEej7RG2iEmB/iUuG3ZXJvVWSLKDGIDtqlB+/VtOC9f5rsd2bp8xnat4/DZnsvTn+gTfn
PTFte1fGWnmVo+7tOr2iFEcv3YdipE42KOq0DGrdwEJew1E9l3rTAsOh3qIsNDo23cLknOQJOm9E
2z9pXY4zDIsNhp7GJLRVMStdYQUTn5OqPEwNyhweZSTia+FPT9FUWrvarqoPerUA0bRKt3ZIS+oX
/Jr+CZaU3EJtoLe5adwdtbAxbb9se1+g2kbEV4MMkO1AiyGtuuWbjKUdnOPVizO1G3Uj/qjq3li1
xuCFFL1X0zr2D1aVN1fSedhT6O+Vwdilzd4llviqtymbjudhvF2lscDiw/j5i4pMJkWEF9Jv/kwV
FtT/Mk6aNYeN1cEhD1+20w658mgryeLu4jJgSUIbqTVsTb98GO1EE6vUqSn4yBJ3m/k6lLHUri2Y
YSYNe53vPWmTy4XBRTR8AU1bf3Bh149IFPWWuInPl3vwtxpWX3wky5UmyPXol9VXj+i4maxe/+Q7
bIazpaJdPnjLozbqQzi5Pr1f09DWe0BY2klPrIiwzkRDXoFv+tJy+Ahp66jWtVHU2zsiMkgt2ziW
sfdCz9ABB1H9k6bilECATJ7sUaufFkFdFdPd+ZrSgMOlzneuvo8hHdaDfxtIFZ+w10Ur/sr4j/tS
+KMk4UFUrpSCf5gbxzYDNQJz3n9xl75/dnM/94OhT/9gYSnOyaimF6XjxQhSN68ZX3bVD3yQkteQ
5Lsk9pYHkDrx2VhiEiztVB9wRVn7BlP4OTVKhnKaGb+lzRBdGjOu+AKhvSgImseSA9tb6afWAp/T
L7aceZomlMAeQq+c/J0cXfrLURnSC8rg+JrbKIOTNpeH2h87H3M7HYvkK13klKWddxXntSN8H+eX
MqR5b96sUpwvTXOl5GeukpWmTHMvXO7HNNFpxi5vEWVXVaoIbmRetUsqlTERLNsPmdk6EAmdwQGm
qUXHThSr7GUwhE8h02yEdqm1dACWJRcbLy71B5mMyVlz9Co0RA2tDE7HSrMMHAZz0j6yTWZYKwlF
8S2R8TqZvflVM6rqhTl0sSZMIgLZLBGXw6o/5+50dSPP5eEf82HX8BI0nOJN9c3/xGyAB52jZT57
rmIUyoyau5UnbhpJk8BtM04hkZlT0k2tzwvJNQRTHULLiv9b/lE0OKLGZTQvxggNbaVx4AEqohGJ
TKLsA2tJRcTUABlM2Zet0puVJP22kBaH3f9sJarpklq18XzjhSKhN+0EkJNQ55ZNfd5OrlPuckvT
rdcyirrv0STXuDZRDitIcyW5Yy4GpI980g6MzyPDnYNiBm4acJLWtAuj9d47GjPZsnAS4n0op3JH
q7h1KxbL36VaKgmEjjWxQU74Wc23XTSk/epSkTFU2LkAKQ3TKspTP9mUFdUYfQ1dRLiL14Rkcmfz
AXnvXoyUCgZVOGaWlVBS209S1NQi+N1LOgoKOjS8+0q63NM0b/peGp+sBHdvdVi0uvwpaP7cdA21
yWuILyz/uhqtByA8y5tJcvebzgDnpC9C++Kly48hUmRkPNg9B7ZCloE/Vy4JL57PXQ2udOVR0LAZ
xag/oIbFrOcjeehgJOgaSLoELykZuzMFTtkPrpZcF10lvZ8ZJZuo6yzcb9Lw/Dz0LHXM+sQjl6i0
ClOGcpqPTvp1UDR29M5Iie/VWKRc9NL6qcJn+wB3Ms43mmf9LEwEKEW1k93bDE/QM7f3fqc8p7Z5
WZDAVtWixbd0dovniTjjxtKb+EhNt4FBLdcQPtqhJQg8Vt1mhk6yn0tpho2Wtn1Ygs98A8c97jK2
r9c4J3TICg/HjFdidId2yfLPmuNSqFRNEBhCzFF6g/FIgZvmUEfeVx50bpLta0IKMFSmaY66QLgJ
u+Q0LqfMMLgYcBv+aQrp7VFXcaiN06/OGH+1nfaicwVYFRm2SMsgjOrVlr2xFUso9s/htW3i+ECJ
vf9AaWz6a6S8iT5IsmJnlC12hpKDNbRa0yXsZxv3vipAk8vUaL9o5cOawWztuzOF6v64/4hqZZOt
8W9TYicidDDq5DjbyByvHMaZGIqtmQCIQWOPfSe3YZzhCr68irYdmQcuVCpqDWC20Zv6yxS5j4Ql
xalnDRa8rChIezpR7lCc4Tj2ctm3mFchTM0fOn8LWUhN2AEXk3zr9DMsYZaIKWjn5Yc3oMPFW7+0
P1yCgRcdE+w7XSS8crZhHGZVv2fGVYeoS9YruxOJ4kRSwhbN4qwZsGo5y2TYhnIPb9NySqpSHqkY
pdS7l83XXEzIbeUAxKvhrqtNWbO2pOqjdVQBwqrpQOAtxCoLaoxbc8NmpYiasSWTcJq2Trto21rv
igDfbQ34YjCbc2dq1Ua3W3ePMy3WV6x0xlPjgTZAysj8QGXepK+1bNovRncrozZ5pCJpVfpEYbgD
DtYpisixZDyHszPX8drz4CPxiUMRXUyboSthMvK5/rEe/XelWe5rsjhkSeeWEIu3EIslnB0I9t7D
kDnWyRsHJwBvK99Hw8mOJUlsMBN1E5rTqNYp7W7EB32FMd3LbbQEbQ59K2FaV3G/urqU9WzsUY2E
APz0j7hd2IALwIHkwKdLDq/npSSr/BzHwwKOOHZfmdfXXIko8yOXOEgr9GK9JuOTGVZAeuDOdSd2
ZTWF+dTPlc99NoWIaN/ZbgsVVQ1NgmtIKtmaSqWxWts0Yq18ewKdSlKyg+dbZ/oqdeEIwC0i0uYn
dsxxa6ZoOfXhtDpQln2o3YqjPY77fs8U2lsAQ8mm3HTwFG694em7guN9zWrqyTtp2EzhOAilXdNi
zs6SytCDB5Vom9QEkZQSzsNkV5IstUHLpqR7UIwdd6CucII2yprHdKofu9KyXgycYlVr/khr55PE
pADs6Ew0ZTqjDJ1kKcli4YDs5+LkDJGgIj7Rb01N0THkNu9QzgrgUZc/V4lP63AxJt8SGM6T29r2
MwiYaJ9yBAnxMz9FkJxYpB11UwDodkMh8vPETkqHAuiBOBtuAKXiJxDm5bYjCExIHpUZQdc6KRJ7
W+E0/WboCJ4wDPkYvFY/YqMjPhkRHytaF5c0jxHp1++e28rXvOjgNTRylPRDAaEAJTUy+crTptyD
UChCiYl46yZUv0FF62uecCsOF2tJnql22+AsCy3K0vYGs66QitY/7K5cjjFV0BePQlBBbbWNz0lj
Ja3Qn7Z2pA+bGqifXDW9ibFRXKQgbyf7vBnh83bDJqNfllQco+WGygGCry1uEcrR/aw6j6k2fJQ+
BEtPi7egyI39XAH97jGnXQe9XVMB/WAu/U5ruN/VJPSPrUwuaL+QsI1yWyfZtdbA7RIcVixNXIdN
VU7I+eN8RAB7oZ4VWUF31wwe1mYKYhqIZrOHr3iMK6oa+nYqvqw+Ste51f5YlviBDgxCo3FaUwhh
mDHpscYz2Q40ehoFV6BFpHvXnDus0r4ssb5XTLI4erhHoU05TjUuyE4xkzWxBJ3nuHYRKblOCCre
f4Atd47lmNsByVcu7cO0iVlzA90l3RZQXfGzJlb85Mi4gjKUmOTTgIY5G3vOepzkc2OjtdTJQWhp
7myt0hAf7Who8WfEP+Dr2TYO917feLZsFxKLGlHb8nkMibVD5uYuHS5grP0NAwqkDGKTV+iE0ZNs
4Jmkg1+TwIBbCB8qiD1pHqQwyXdXo1J4ud0l/SQNyq7oZjxSbWrU2TOJjIyRI5Eo/zMmG0l3mrDc
tS7JRh6dlPvJOs4dQ334fpZf/dgV1p5xdlasycTeF7g0eyjEiKcxn6a1kiaaqAOTYYjZDx2dEQLr
qe/A1G/TWwYS4WnobVZb1o1qa2ULmibcM4EPJHXcD9C5w+dc0/z8r6LD1vaHElgw52YSPNXapJtr
syw9kFg5G/0uE2z3pCJRI9J45LYYNbhLPK19RygmjW4qojZT7x5IoaHhay4gip40zlKcHR2GLz6E
C3brfUeaBgsdFB9HXQT7O/msi6XFxy7rYYYYlEmv7LiKr4IDyYknLvkgVy65EcuV6mL9wZ2Nr1ZQ
IUfut9kRdk6ZLs1yVWZwEkv/xxiPNyGndzvqpn7FF5dv/EJAYMKaHmMavFNP6rNPL8zaaXnQgcRR
JC/Mu8nGGG7s3RU7ZI5KlhVNGXIN4Kbaazb1YQVR7l8LxtN1a1sdWbFkX1WJRWNPxJ0J8yQuE4ep
VON36smvq/4lHhr8u6mFSF0IeQaS9agX+amztCg0JhfAipcgUnR1FL1zXyj1EFeaDFw6wfdjbfU/
oGpQadxS+HukFUiP16PIMw6+KWNhDK9rrRxilryEUnk6f7PY3826MQQ6Vx2T9aeszzqZ7iepfIOD
FvppqmsMR0T20ZGc2s4jKy7a6nRKawHNN5qW99nl1lauGWWhbFAvn16ctnxXyrCu8QIKYdP11vyj
0dN8N3A6Ptl+77zPcgEngEWUo3W+APnJZl8/TYUGBNl1eRvwg2lwALo4ulhIQ39wN+UWsmTROR1j
qGQ97x/vpJa4RhjBIXjhCkcJTNtuoQmticxB/Pc15gXdmL8A/sLB2aiNKNVrD6eYdzB+YYC8BYzi
7gpmSQTlW1hkM6H9QLQCjTvTLlQlQqrl4PCCxx7/v9dwMxl50FaFo7ff1ZKeG+necyvzlix0UCng
4tAo/wd357UjOZJm6Vdp7PWwQDOSRhLYXWCcLkN4eGhxQ0SGoNbS+PT7eXb1dFVOz8w2MBeL7YtC
V2Wo9KCb/eKc73BlM8gPFi9hAo9rI5bWiD3PQ0pvy5rkY41hgSMXKNXadpIfcgCdgqixnvbkQ7Yv
uAmZrSq7OTipbD7JeSAnepY8IBOMsWRVNAjOc0fIOWhEn+0zUmwYrhEU6sZe8QhXo2t3WCBGbJR2
tPBzIfUeSxXdxk127F2w3d1YJ8hrG1YOssj3c+vDU2hBdjTQKaflbpmTco/wbDqnfHty72Umklcy
ylgn6DR9wZOdfCyiFUGJuOZe1VBQqAvr5NJBT4w9wR1PfcbabJQhjVwlzxYHWdMyNZV9aOVolwEW
x+w4UcdcjCQGQw/papttWkwAIuyoc5Zpb0qi6Hpe8gDHxVPWAb/wvMXb4CZCdg9qibJOHpQLwRgq
hrNzIDyCEFW9vKaDq1Zxy1ZxXIO7vC3rzy5NjC+Cio2gdQfjKjtXvNMikzv0etXRIpohqMhLPqXL
Am1IpNbJZxz0ZMcSF4xvOGtsEyX9ntOf6aMycDICyxE9c26VMrtC54Tf3h2pncNmuuTEhQJELbcd
OKV3ysrY+1fteTPWhOI5Z9xwAbGZxL3Mh26SWCB3gKpdZ6JyPrD1ArVgqsflgT8NErGNzzCesETm
8TCtmSFZazMWw6rOjP6lBRZ6L3g+b+Na8ChFRHRM9lLdOUi1VhV7qICbp1unHLIMqEboGMAvmKZk
OlnDIC/uk6LOdmQ49c9NyFlXmRYL/alE2bbShNP3qwID0hjkpWCzhPSdhIEq/rDR0b6Cq09ugK43
a9aJRiARKmKDtZwAp/EYSBMPPT4OAlVKSwMR8LhyomrktzNVjfduTMZr6emvaHSta9BMJx4opvVM
k4Ii79NTDFZ6AIPVnjsHOy7mo7+wut7VdL3DruLwhLvUduOex7qhfDz79KfCg+RPnMCj25gdoHcz
Gc115ed6DgxeWSQDi4/VR4R7xy3aDxlNK4uZe+ha/Q2ppfpQmjOQv8wY26Anv4THkmCa24hh0T1P
V/KclbV4maSVr5XbRZuIGPttWIXLjSorEiVcbIkrIglYO+fCfEF12T9iVmEw5RU4ptJFnEHqEhS8
p6IvP1q8NezPbEOirr5v/Ka+KlHgb7kt8o1y2+6CvMuafpQEeNYv4meXPAQAjZpLI6X7klGeXzg6
Egej9+GkcodYuPE8ve1s8EEMWvoDMGbjPYsi9YRPwLsoaZL2nRF3zGHdeDcnabIVvdrkch4+Db+R
hO+cs3tdOak8iEWCeXeaTzyROSW13b5Wakw/LB+YQRtHy73rynHCEzAw1NGsj1EwrJkar9A38s+M
KcmDjkJ/CFhueHNgjn13L+aiO9pZ1ThH0yvHi17D9GJGPQ0A0fxk3yQxG3TyWk7aIqOAHqIg+kLE
+abGJIQOCruf66fuQzjCcI/rikIE5utFm8uJ9zNvPWAnLDG9JX+MoSI6DSkObEGra6MyHt3S+LKQ
dj4UtdHcVYMdbo1qTs5VbTUGdpI8mST03ughch9gi493hh4Jb09vJ0atWwnQ/CWrVHdygFq+GGHc
b1KEKJdWlXjB4IbDC8fKi8py61ob5/pgKrKjldnyssw7c5dHcXGK+iQjQmHMPscxBBgySTNoizGh
VTE5HRBY7ekNExi/cJdiQLq2c8Do0+xGAPGvRdS08D/0Ij+gtFGPdbVprHLq5Ms0cci/thVzWbIf
1t2ZfhjVg8TAcZZGlIPH0UQqbVEr5j6q37VnGyigW6KZlRAvBC5B0vL4qc6MvULcMmxNLscFSwwz
25SvSlAFnrTsEMFMO9UucSCFD/DWiEljAiGDKLb8npjXqJk7IyfYdkcZTc6StmwIV2mMfa5Ly32j
mBoTBvrqxfEnKqUvj2lrELHFTkKxnV0kani9U9wc1VemsgpXvrEribFZFTrj8NP2Oi5G/InR1eRW
T/PAsTMv7nrOWQwZQpvsjeMNb9lgEPZ6TFxxyMf6XsN1QTFE2MkYg+Ep88CZEhQIbIXwWM0ssryB
cU8BHSmSxn4B4Jtb9n5I9ZXdMP3WJHvdMeqy950HyNDuI/TI9ZLQTA5D+ubWut0aLlAYz02yexIW
1INT0jFWC9RMVVRi9y9LBTG7ZXW/IaElejfi2L6mBTa3pONku7JLusef4rwzxuLvCYG/xDj+8q//
n6U68rijAvSElLag5KbiQY33H/tC1u+f7ftfAGf85fgevbd/2b+zPE3+8q/8h/V78V7+/KN1MvyR
q/EPv8XvJhLrN8A70sbt4TgmgB309381kbjmb0xWHZSClgtp4yd7428mEvM3F9EiVjGuRmmrM+rj
b4wN88wIVnw9/jrnL+n9MyYSYf0DMSajBBMNODYPzstfxLogrLm5OKo34fQ46OrafxDbaBsTVJIg
dg+8FLPA1uzurEdIUhzMS/rYNck2KZ55E0DjMQIPQqOZFW9+OK6zeI/mZjUYWxe540igSNgVh9j7
cZa9xXUEXC15HqY3iRPM0K2ieLlnXLKapL6x4nZrGRe1993OQX7Wy43yGH3GJSWlc6UhU5TTdYUO
JVTf6Okh0ZBPwZZPKCpgtop4ZY5jUa71BCon1rtCEeXNwRLM+HoRiGFkabfpWevC7XSc47fSJ8+m
nH6YfvnY9eZt0SzwhbA9rBBW1RvEikzVPvr8RiGNY/id9Ss6J0RA04rl3opTdXLlSaTpfZQvB8tq
UTGccbTFRWZyG6riypoFVXRd35BFjiU5IrvOMDYgoU65YHxbM3M1rOrLgbMQlI39aoIP59e0Gato
UzFJTcNpS8YyjH8Nh4qmU7Vr4p+uraQ/9co6It3/yFx1mit+VvyGQIuFfJrhJ1RQ0sE9biIbAxsh
XVihFcsnNfJVozg5YdyhwfeZNttecmxQaKXzf2WMEdC0/yTOPr/vTNekAxAuTir1y7OVjUjlkgr1
7bwUj21vVIFtdyeYXvsYx6wjTWK6XEWtUu7y+sYp5p0j7Msekctam+geio7jOQz9g0ryfWaYuHWn
bZtmIbti62SN1XaenXvLpkEk6WPdYLRuyktzsHdtXbJw2gqsviW83zpZbh0SqNiubVpB7gC/wlon
33br3DnZKzEaW0YnQcLtH6XZNhJx0KIjayZrXaXdFVl3azlXaGQN9lbmqUVoOlr2SZv+lYI6P+sB
um2xg//5kJIlzSO5W8gHEG8KsUq6DBdY+44mIxMGd9G5eZ0RIfBUZrrc1mNy5ZXXcAYBdIMtLrwf
Ra/3eW7uI4YTvJc6M8iG5WqZ+40H0FXXzrYqh1XBF4TilWA0F/qC4+JZyuiYlg+yba/bkEtHTA/l
/AaNar6spT7X1sJ9pXIfmLbnL0weNzQCO5LPGP0DChXnQgB/PxBmOkHkk5HGJuGFFRCInpUEq7hV
rZa3P5yup79q9f/o9/p3BqXzU2K5PsRzT5rmv1PQ//2GU1X2BQr1OeTlC1vx1oA/XUA+44O/I6bm
uAzjTdS1B4wp5+C3lcjQWvWNe5Xhh16TwHXAdnsTS2YbSX/XeT4CxB4Tczx+16gn/vMfG/PUL0/3
T403/zAdLhgB9+vPGu+uBsE6ijTcNOh+Vqm04KbyA8MBmdn4rcjCWYV57O16zsU6Unuj4JBqxPAu
oSfU5a6JcxRaxsJMt5lQjrkuz2wkN5VMzm2KXEEfPOIuuudg3Vn5fErS4b42xONiwfds5WfkzPeF
3QGa8LAI0cWuEDDzjVVfbUjL42gc5Te79mGF2N+4soqJuKOlZoBVT3fxOJ4Am1wi9iLwT5XX8ZnD
rJT/1riLWFnZ+KBEfjOCo1gNTv3NUiZGcFo/TL3x7dNyBF6ivpWR31N4vRQLiW1jB+xUfNc5nnzC
gc5iwSRq0LBBgvN8zAfOEzOXneVNPsq0H1NswMcDFVtMm06sIjYV1FlBQo5OWcvVlMR7m8U28VLX
ppGcup7bozYxk3v+nj076cTD8Jy2/SMEFM5x+2XJmscowbQk0aSOiJkWo99b1G8N6jinKe+deNqb
TCzLPv0Izfo+j/uLgSGdQmCDZAJGu3eKSvNQ1dNpsr013MX7Qkj0ZoVaD6a/8YVP9IKzZRux5Vd/
ZYp8A2GCWyZ5zueGGe2w6YGkOaB5qqs+XDYYrLY9SCGwoSvRvaTLfQgZkUy8dTxc+nV2IJ3uuT3X
rvpcxaaUs01Z7Lxs2cQgnFat1SNXBGcNc2YgPa1p01d2gUy8z3WxlLkJc41aOVVu/5wW7m0VWcSU
Ng37kwkpAcL5xEk/mtxGu0BuiVdgvfefbZZoZPR9epGxBfQMi64Kr0oKzZU/Vqe+yfZycbYpjWwx
qTt4t5e21NN6CdksLA7hmbng8/s1JoAtEc/rMOpKbqYXRrZ7a573BYs30ikplsOeaIu4fIlQOM6t
9ZT3Husk9eIszcNcDD2CnuHQhO73Iq1L5FfkrXQDaDvaVz2TGAOHUK/byMs3jr1cZT/H0tUNdoJ2
57bmu91BG2ROfFchkcsa8kuzoX8xcwh/ZI9UQeLrU2v3j7DqL8bzHsRC8Whkh0w6T8oVJbyAOZBx
+iA69TLIgaXF/KOg8V8ZZb4W6PaNCaKGaZ4KFa1ZpD0V/UQsNIsG279Tg3EdkVrAKpUlaOCH8bEb
EagUy0bztNuQeBZw1ppXbJ59LOAW+VwJMFJWu6Jh8/RjzIgCWsy3OZrpIeYtQQAfKTl/5HvBMXOc
u9D/QqJFA7uxjWPrHWuytqybcoCSmJxao1jjHSTg9W7UYLNT7xHLAIwn8BBLH5QK6EANUSP9ypg+
lpCvkaO5/sPEwD6Z7ZVFkHUSr4V8HaJ7Nyp2ykP7Yt8CSFpF3US7K3lcDMJ471j91at4uTKhjxGo
wz5J7xPUma27RQZLymO28lNQm+pGTB8+yq6CFXQ/nK09vK8z+eL5p4JFs5vfmhHYM85KhkgyQ1Xs
rKPkx8ROsxi+Z+QfyHp/zJYFhHuEe1szZWujPVyEz3HCLD/4Mf7/yl9ryOgrx59ANaDt9ivvgMbR
XRmj3wHcLZ4SbUSbWWr702hx1XgG8kdSMrZTtVw6bfkQR427xpvyAC38tcI9XWXLA4OI0xL2bkAc
XhJYpWUfoj7LSTn3yo2rymE9TuVHNSw7b3H3Pf4L3MiQNTzKqSie7w27YdRh1puJMV+RTu89cIkB
FwMzfDiKwOsX5f4AjHrhT/GXp4cHHylQgFmG6GIdrSvAP7hvIHyGLvmoyCLW6dg/5AiqakGK0WJf
Iez8ZtAapGIX9eqCzNpzJMA1qF9OX/saM8JR634HPlSu7dCKtq1NIqM9Ebk5NX4CdrE1go4JOwQw
VJj/8neTVO34p4w2dEUF9oBi9aUloJKgVzg5URciGxIXvDbJBu7UuJJ1iKTbdfvAxQSzMg3MwIiB
7v+72tH/J8GMDI7+UEas3/v3v/yVV3B8L77+1/+4fG9L/lv2/sfmUaifn/V7u+j95jgSsYivfInP
2aNX/b1dtH+jOKLasIRp4mTzcSL+3i4K7zeb9aVpgoUUuIgt/uj3dlGI3xxXCuiOUtj8H2rwfyJS
5le3pcK6h6sNEqPPV7K885//wayqOseoXWaHG9ywe6B0NyrMvomn2AIDWBthfztW2XdjIwv+w6v0
D2pE76eJ/o8+T5oH+nYHxQFCVv4udNF//M5R7FjgvvJhoxgPfYW2C8AWeCXrWQfG8EGaC0Vs4tqc
eG5iLHdzV885Q5x4QbHY1d+UcIx1Mz1geikz2HiVp6tLtF+yYnRFQBgRq1SRYG61dyI/GDTHQDWy
tZwQA06LyWFRo3th8I7bRhDtKCI009uccf5qVu0NcaEkf1rWR2oiiERJQWKEBdwVuO/Kbco7XRTF
qieRQhl4u/uYTD57btM7OkQFhW2GuYzFhsgzrPNHtzPOaqs5ZT7ppQ+R7/H9Qj13OxIOilvtVJus
Tq8gynXXWc1LMfuLWIJwNjXMoCzhkyfNzBA15vhhKcN+7F0iXYNuENFN4vrtlVMWDtJYTaKzSpgJ
0h64AabFlCshjZ4S5O539C6kvSxxDUK72glUxbe6amwCvvv4pTdh3dKC28ZWLxkIe2s0vJvJ6Prv
cJbERcKvbqMgSnv/s68nsJh6UijXW998hKbe8X8lz9g6rK34rqsabhVw3uhkc4nHhjBFPe0804sJ
mDXZkiBhvJJwkwKL4OLjnBT2jZksaIBlpp1TY2RuoOzOvEo6+v2hnsvTHE0EJxC/eT5yG8a9tL8l
fE8cVbvKHuarMfX6LVvyMjhvDbZp0i+X5TzWj03puQCf686I1q7lVE8SNtNa9oQMrVxOWcB43uhX
p0haJPXEdsaqMNdDD469bIrA7mqfTB4mxXtlmgk0xJiAkCIn+L0FJEkpznKMCFfkQZ6+4ePoqiSg
/y/HcB1iYBHZYfLt/VOsJlQi5mhETjAgJA4cTHyHgWA6VHNllULfGM2KsF5TWrgmXWSRVVQ7T45G
KrBZUq3CtRpBXjOoIaNXtR3jhoqh4yEsOgK9o8qpr4ch7t+aUvIgZY35ggQp/uL6qz94ZZK7jpi7
GzdzKLYbnaPMTuwhfmFWDIwtGZJoK1nXAEIzxXhC2M93WWQscKJACQ907tpv+AvIo11SyKGkD+NI
TsYU/1RsCb3BJSe3LCb0PfnN1l0JlLJZT0L2C1r7BsPEmXb1gTdQMQmJppr0euG/dV4VP7cEPXob
22sZWOV5hoXPZ2Ux9riM3GEQ82awkvmd0IzukfBEoE4SOdF7k6RNuaoBdqyFaJUTKES3JuvRRnwZ
XSLu474unlCKhrdEdrgv5QBaD+deDltaThaGkZBYn5UtxqzeDGTz3Feqsanx4cOuIkyylLupysB2
WgP01ST2eiZQbY7LVc2upEAgWGITmxAWRDyiD2IlIgCpILPSAC7HXZzF7R2qkYZRW2TmlwsoP3FW
EXKKZCgXpxXLceNG15oFvsjIUky1QSyAaSL2ChSBlh8mSRHmWsEn2gOGY/WBccrVnITSBeac8PdR
w9m9AF88PRlFHp9k7zpD0AL1ZRtdiuk2wVzwxK8UMXmtCrb1HnmJoa3a+wibx9qu7YlO0CluSbpO
N0vdqXPdNzcvVsd4iMOMGBvKH/XGYc5vFJEzESIgUXAPsdky8IWOTFlW0Vz3KJnQhS9U5VMPVWrm
JzXQ0w6R0ohOvdSHUjeWHAtjCGBznRnLeJx6NT3lZkti94Jqmv539FFtmNKXr0nfjU4QDY6D1omM
bRbDLCavUx9LBGGj9aOnZ2QvXTi6HhNPmsYJbdBnEy3o14r4vJBL4MkgHZCAOTD7EqKAwqPV0YEs
QImU0rKyI1s3Mz5VJk6iDdsTEocJ04x3XW71/oU2BqY2Gl15fd1WRcL2HkD2+xS2cxiw3Gq7TSlL
kpBLFBfIT1x0g1ZD+C1RDRE8Bqs07IAHp2UjzRoaO0JlFBlmOxTr6IWZ8SntdHyIcKjiiTUZrvDG
FHwKKc1+OtZBLb3wmiepfXPxLl0bWes+sRotLggKyy4X1gwG95zK9yrW3KBZOejnwhMcepGXTEfY
E9S6RcZJvRA6wjIGUnBDoI3tflalUvdzhkooAcaJtoflDi6jwW2/NUEyt62yyF5KcAtvCIedjl4x
CdwXSNGIHCmeSzhw2LG8ik7X5doh+CPK6N2Xy0KWCE9cUozw92FP4yd/x1B2HKaYaZ9rAndcKKR+
RKGTH+2QUK3NwB6KbZeVuJj9asc192GkTbjGoMTfzUjTNQ2qz/RVpTTtqqfG+BmjK6xoglCTlA3Q
TM9WC/5ucxjrF2ux1APHb32aWYXv4JHo14r7+UrJaMZWk8v8tRhmQNKiw0fHwEJBEx5TF9KrHESD
qlxnyP+UYbZv0+D0J5xv4zGcQ3ky3Q7D13ky7YXJ8ujwRvpgRxUigEOvDUwz30kEIjW0R7RwzI76
9nNBxMIooelch6hTdsfnX5q8TexmuCfebTgMRA7kVw1b8FdniOPvJQuLOCB1BPWAQMrLC5fGC3P8
HkaOfSD/Ch9YFUFg1pgX3rldklvWePHMsYXRZ8azSwbpuuprrK2rpsvcGzPkyg/YDtszK8USDb1h
tTYSmsFZz2Rp8CZgwTZ3Bgxo6YfHaqye8SCgVGhhCsSpoAMvOh1vKQwaotV6wx0vdWwrtsNWPJF/
QYhKUITMQut4xvEH2BbpaqjbzVAbFnpf6X00srcuy1h5zmp2RdRCcPa7Pc4CdUXyxmujwuYxmy37
h5dJPwfwwGO28WWHo1FIigTktW7/7SkDw0QzuOOwsRPHuzMtFQF4Hi1Abx6q9W4dz0PKu9MawNhO
k4UJzxuLAW+hl2bsObHaVJfDaNvPExkYMA0we1AI5TaXPiqLfZubHT6zxeO65IIX322GdpZzOo9e
krZEZGcM9ky8BU66tamLcRMnoJVWKN0FLIC50BcgWY0fYdLSNyc4mDNkd9D2ayfr36wG798qHxLj
LTIIgQisTqdYvixOAV8S2LoSGGDuS6/GbRaNNbWJLZbpccomk8sYQ2R3gOBrwe2OQgRl2bnfvNaW
ad2ZRAx523xSE8C6JW9a7My4gXol3U+IEuhYbTZBfpav24ZwZKsXauvguXqeZnl2iy1UbC2pM6sM
N9NqNHWLO2QGxA5vBQxwL4wPLaL61XRIPnVKRCcGuFufJPeo94qtndCGArTAH7/UfLM6kjdD6rGo
UE68LnBqQqzQ6yKZybj3nTlFlMaQIq3ZpUxF6W1l1+Yb1w9trtwxPOnQQTfiosrZejDC/UWKZ55E
63tKunTTjsSHgyl3/RPBf+1VGs8THv00d+8WoZNqY/Z+fG9oUVzLYeL1403xNNsTx1VugWfYeV2q
n0Pb6x66tj/7xRdn1mtSJRhiCl0P3yhIhg87RkvFVKiLCxCZIWloBd3Nt+XhFmUwiRPUrnXFFQul
HhmSpVcY1bDBR5KnEL3wVDKXGfT0nRioDeulKe6nhUNlVZdhPayRnzBRDMtzcHzY97PcD7Y1w8DO
Zn1h8yBS9OYFZFtSNVcmE0SGbjb6CK6xssmPBdV8sSbUcTQPTpu3m0io5L4mZ+Wu0guCZBdhO97A
xUNKCqllkjDFKz8FmuU0w2QS6qIw5OXhyH2vE+xKbqz8hwpeqQWyRFMJclHmDSsTJsjrSjQ5O3Lk
wYyE64YKybA1L61rV7iZimILASqDUJaRSA+jIh43fXfGVkYgdZ/14Pkdhswh/srcCPFy44ZURaVR
UCIKZSIKiyZZPZmDlT9Mnel9Svxwe9Zhc30ALlK+lHTGFa7ZNn1PEa+abANr54aQKM2gmzmfv8KB
IC79aKQ89Em8wNZaep7FrCe0ORxsRHRcw1Vzi7kiHUnf4DFEgItjgwkgbU5nt+ZJukkjLnOv7cet
bm3zwS1bC/lw/gWWe3YJ5fFgr7SCWG62K0Ya7R0ViQvVTs6x6kdKyLiffO8iIWDjAtY0D1zIO//Q
p0576tBhoCHMbLzKtkObN7I93CXQCQ+TFzFuM6r0U7kdWGzLTcQlXbJzi/nwUnhE2k1NdSikXNh6
ZpgfCTYgdlhtSGtEQmDn0K+Z5UqWDyxi1U3HG+AmgVuHs6Kvmdjh165cyo+2Gsll1m6fnRP3aCzI
7mCOnQ8rLBImtIg22ZWNKG8nuy9OhW6hpAiqRly9ug35NtrOr6pSMIFFHsgYcaa4mFN1Y/lOt0UT
tcf+L4KU+jLqsulUqtZ8MsuCTCsbFjdLj+65xHsV9IlUdyMb9Q2gab0l5OjGjQ2SY6UzKNyus39A
KQ1ddsKfOHJC+eYaanFyKUQGZLdNvGVjtnl5xE/lX7BjmuygCn28ehzeX17n7hq8WN/4jbNTNLL8
7cfSfyXX07tw0Wm+yEZFnx4XaEA+N81ZXvEh9oAutSY9CJv92GbGaWHt5aK/IlWJK7mrH4q2N/ey
CTGFTcSqPJzTCy7zkF3e6Bv13iVk6hGRTPYWDuZCsoOpje9xcMvuzcpogygA2Ohsy9Azlx1r0An6
nS3ndX+2/x8SuKSfhujbKw3OAGR27HOBpbMwqQZqnU3bfKSazFif3CJW8NKt8JphOzgT4N/YrM/5
bEjKQ9pMKgUiOrkza69OiIGqQRtgp7GmbE2N1F3UP4+dnh/ttVeA+M8Mn9Bcz7PBQzES0OTsnYI2
AaCchSNYVh1C19odWDxapVBvPcawr9pJZLi2pZ/ptcey7uCP/uzvAZZ0EYPXmCJ6snL15UXo5xIm
OZfd1E1HnSLcCUwzpjAdRIpdqLDhHdlRk2CXtat9P1jWnd2bMJMjz+RIJPJ1WkOtjYD31B1KR2br
2iHOIaQ5T/NyZHs0SvNqaGu03/1I9dR7MVTYypj7D4RTXr/77xpqotL5qJD9JMwl/vd18tECR/vu
/+efZp0/53d//6jdV3UeLna/ftCfPgeFz+8KoPNM8k//siFiESvx8NXqu69uyPu/zQfPH/l/+4e/
TzkfdM2U8/2zSMp1glsm+ej/OOm00K2gAfiPtTePfY/i5tS+f3518T/4zL/OSD37Nxiq7Io9xT7S
Z7r5bzNSlxmpxZwQHtzP4Sljwt9npMRuI/9RZ/6fhSAHQOu/zUil9RsB3ayeLTJtBH2L/GdmpL8i
xwS0fkatplLABKSwfplUYkfBODc4465m9nVP9aBvGNYoHHN+0v4w/CW7pJVr6v8CqoZc51cpj/AR
BpEG7JxVRlTDv3xndLkZYXqMEZQ9hNuktZz6vZA0wAxdhF2shlqwoE7aaXjJ65RQ7tmu6gwBLnz/
IKRMVDszR0ASdK2V45AIk55kamQ/ttBRj7mFQDLzJ008+0kWn+Q5YLoZGEutBP17sqqZqv6wGGhZ
PaiknQRI+lrgjzp7Qvwn4nyKeGPKcbzVRMXW66xXyWUSg8KH3B/WaTAKOZxv64RNBvmdXlFc2kmF
oy3a6mkhZWspf6SNEcQ9WvmlEuTZhNUHNixx1bUTGQxD5j77mIh3FoBxmEk1G77YsVkEGpEKHw0M
skwsIqM6aA/hdRnqL7dysh1e5204YiXp5ZxiZItP6PDd7TgXDHrdKgtYOD8lyVkKXnNpMQy9H4l6
JBtaMtptysDhIAnyosKm7Fv2TVlPa28miJTxZQRxZOAT28bZljXCILor6DM11r12lu+1QTJN5NuX
psPgKEZAT6GyK8N8O7U19gcuWVBV/k4xwAs6hwati4krkmE33Uzt0FyZw1m3G8L7CokG2/YVlV3V
2kMgSBwKCDZjDI2AfpN5lnXO/+l3Pf0nI/MO+0ZiOQfbpJs1RtlsgKINCEq7ZGdNsUTrNdOzOaXE
PJAO27COiou4wPjkO3m4RkGa7JapNTajpKqCfRXleFcM+7MWIzAOm6Az11DGkSqzPIiqSe70ksPA
LjE+kCozJBhv6bwRJaSmxXgTyGiE9tm1/TXMD4pAlKHdu3YRdAY1dhuD8KHFfY1Ag12ToSl+cHQX
n72rU5cc1NqxzshVkExVdmXSqjFRac3kmEqfVkY3l5FpGxeFVdcX+AsrJh4KIwHDZuRn5gLJe9Oi
7lyCzo9x7jJRU4pdv6pORT4yQDQxkJxnMRlpq4V0jsiy6PVnEkWu8g5VwyzqvNhlRoxkwIFzQ4Vu
m+uG2YbcOFzL5oqZgXdttrS9q67R4600er21o1hHF1FUoxhpzMZ97XqPjprFKHmursWAoyH0+05P
nnkwezqgAG9acQW/Qh4yAIPsZE0v2tt+bj9UaJbQ68BhIHPKO8fb40YmnkSoOr8BWTI++VFDt4ic
iQRgNbNwjwy7nTaeM0XNhZ568VU1dYMLoRBPGcEIw64neuv7bEDymVJB01tZXYNmcYVR0biD8j5t
yQ9ZLrOOFnklHdlaCNmImD/vEeKHQZLfjoHZuIR2K7Y1/7MCDFouJgZwIPx8ALrgNtxQZn/CXvrR
FfGVIOsPibK9HTRzpmKU+Z5axrpRdopj3iZBtc+wdJIVceWjjGYuZBDOapKWVJwFH2ndHEu1dKcm
NT/hTil6vbbAyJxHewIL6uvSdbOtRGW+dTXJIaiIkxOQmv4cwYAqeZnlpp9mqBz4n7ea+L0j8S5g
GAodnulp2fxdFCH+AZTvyaWP7yXmAfaIhV9KpN+rVjvih5tOyUUuh/wSI8EN4BHggdhOsGPAHO7U
V1NpkScrt9IM8uhkeF8aL7QV3Mddx95eOI9ZrF2GhONwyyKJyjJOQo/dbTJeLMPyVVsoQcglse1z
umS49lngXKNJCxw7O8cszey+z/z/A8uaAt6QCJvAsQYrQDQW3lHSZ9bDaCxohhjg9AdADeNHj/Hr
2E1Dl21iMpLxB/SaJCI0ObqvJLWkxXwWTltrcFpEP7wRzZ0B/25veXhPSBw1iXcAHpnOUpJuQKo3
8YDGiq0/X2HmAY6w8kCJ7oIpCnHiItSqCueCvEb3upYqvhiU883tlBxZHsG5bBsUP4onpTuQATIH
NVki0aZdFoz2SReJcm3opv1kegBHKMpafHyq7FhphSnOk7jFPL7ynBF9XjzCNoiy5z5pyb2CK/11
dsXsdGLNZGzyhtk5zejBcYbpYWMrGb0jBtriyeX3FIyzaPeaMv1zGJV96uYm/KHzXNj3XQN/KOiX
MkZ/1f8f7s5kR24lzdLv0nsmSKPRSC564/MQHoPHHBsipLjiPBppHJ6+P1clCl0FNNC97c3FVWYq
FXInbfjPOd8B+LZKO9VlGyQ5VePKiyF6NN1yidPFXWeD/atJKLDxSr3sC+GYs5+GEOCqD4um83Kd
TJrDPCUBrr8ZjYJlnpYD7WeyCQL6x9u0fxlzIRMgxZlEI/THiQsaJtjCjO3jHFRPEeMJXFFpR8am
tB6LXkb3k0XpYq4xJQYSHy/5N6eSzka0MfXQMQUbPrVUgezOGUXHltdRhkVanb9CcgmN/dP60++Z
9f3IoJqjgi3mY7qECQyAFqurxVU2paJvgxHprgmKabsMnbcPSN+to5jj/ZLEfMlQxM+ZF7/Fbhhv
237kAYhGlmcCSKuxl5oQj7Uk13Jq5i3VeDsLcGpaKmdHW4+4S0iZbQqrd/AY+OnPFIseaKzpL4UO
mENbYJupOMtvyXUkFk3VSuPTRsE3NG45C7rg3VBEzLS8RoXhgyzJ9JeKD7Zoq+hSB6begzh8xRNj
vRCw7A59iB7CUQNTn+r6fY00vWcFCs7cs+MtdnxoioPIN2D61EFlCGBJFj5q0Elb7qryYeJ7t8eC
7ljRmUnurVyl25yUAqAh4lQYhV1e+FR6Z44L+jMNbl8qcBGP0GWqH1XahFt8yhoEShWR3PXt4ur3
C8HzsMj/6MlTR4st5+iYcHzPAJJuBtypZjd6dk2bHfWltPrZ0R87WYaD8khKZH0hGkIpdrTnDksn
WZ06dJNYpGLWOSriScWSElKRuYD2uvaOO9z0UIY9l2V4FWHK5y3UKQ5LRHZjsvIUiyF9jiHunu3A
OC905kT/FDpaIEZVAfa1Lk5zFiaHKqDe9k4xHzVGtSnDkOxa6YlXhYQqM3oTA4YIgMXbgr4yGYQr
umW5b5fzFK4TUcQ/Q17ZJMpgWdd8CVX5iHhvvQhfZYc00WRYpmzZV/ZsPqTXl+ehnbEdLhwf7ucK
WonQNI+detvOQzhM7vKSZ/P8D8CHktc0yPMruAZzDZP6hkFOVbLhaDusR472uyzK9RsuAfs+Sqrq
lESOvZ+FaelMmv2Rm3SnmOtKFPGSioKzN1nTixlLeTAVWGYrdHtOkyp6dHUdXMDxOWdIJ/6HRcM6
jsS2/nBldNS1g6DTx1i7MpL2+PGWbQviTvGcyZKTe8LkkBXPWSlG2XfSxgg0+SRYQTBx4BmjdFr7
uHq4DGukDXxziocJn1p5H4UktuiMQV42FQfGcu6vqreWo9/wE1RB5by6yoCkrbvefaFyWTH3s0Tm
PLJFsL+RaDIzCxgqfanhihWF1vTNVOFOudWyC4me3g+5zBgQhd9Z2jhbSzg56wxlhcJkate2TfLD
oaXYWkAUUorcEPexNczVvvTG7tgw0f7kpQWIERKUZIxa7fOOPySwIG1lPh2FXknWXMHEf6wRZe6Z
7pnpu3bF1D7NU9oWz5aip2DTN4R+uYlwwVtHTpxBH6lucpsUhs5dH9kB/Tsw1t5jLH4t5Ri/TI2T
/lmsXOzBwseQUUZKY4bO1k/NLJzPoQ4hSUyjKBhdiRCsXBwu2yxNq+e4tBIw2yo7WUq6360Utyan
FuIE4yY1XbG3yX9wjCwnii7pfWZu3V7nzmGtWFrBAs3Bm1XN69t43045S3aHXvyu+Lq/ad6Urx6d
G91LUErV30c4LlzE/FFAoWJKso1LOFFoFhnYPmqFhk1Yxj7l4wOz62Pj8BBuhtiKMs7tutv25ayc
VZHz9oIwAHVbsx+eawfsK5jVtrmPaa9JNuBRxAW1GBAQ/4D+XZsmPrb14H4Wy5jsK7rB3hpE1G/B
lYh4WNNeO08+QZzdxFOhN40OgnM/x3ALeA5pbVb2d+Yn4xelkhn2fS99yxYD9R+GB6C4cJafKp2n
k+nHeWfCoH4QTJaeYnj7UB/iKTrIDFbGjEGWE3Vyh341HlpNnd/AR/ht/Njc9bWlHmXSdDtgfXu6
KH28Ldl8QrZwNgNY+2slLXm5WddzfIK97WDqSOfVFLQQNPyCgvq6WzpWHD+6wEz8GuLkh6qt6Wlo
7KhaTW1XsloLLVaa3MSfIWj8dTKU6U4KvKBmFMlbF4TD+5jx5hRWhQG3iOFdT8q9VFBITinS0FN+
a/iQJNlE04fXluPsI4N5NMc0bf6RLvbqlPH1odK5ellM2J+W2Cayv/TjW+6ggGkrx1UKCPKxXjp3
O3fQ2ral0/R3UyTHTWcR0FNxmTwZBgAbFzQ1bIhsbB4H7qS/KBaVT9RP9Nh0sC5gnugeDJFqqDvt
+2ATz9hMgZg5HpQuOLs6vEFlZrHDRbt8J3A0AJXTZ0k+kTNQn4kPk9TiYgxTjELl4Ufqt9FXhK14
7zGsP7Ktmusc1/NXylnsvupjnCg66i+Dn+fPPae8HMqQLXeL1VgnV8rmEqGAvxrNeu839fCVopTh
OurT71kFwkMm4krtVMYnJHdzBpmZtytlV9kkBvP4ErKnBJjA1uBsbaSHfLc0SXapXBO9gWDTJ6+J
sjer5rnSCS0d/WwqLAlzjtzvOo9UAgkC1mbcWGYoXqa5EZfEKqs/cpzI+ICyFS8B58l7u2TPW81V
5GKaxk3L1LfsQMFoTGNLxDCfng4XvlyB5I45Nh/eh5bE3qa2ZPNO5h15OAgn55mawubF74T+zkhB
TjiKhrbaTGFbfWhdRN8jgiI5/Zj15Uw9onpcWP3eFqgx6o4EInIa/TdQVTP03e+4H7lf0SLs/jKq
Um+1KBfyn36NLujQehvZ/nsNTXTtlX19F3NSu1U4zhk/UIb8UwXFLjW+vDJ9draO6rwDn6R+6Bxt
Lktu+u+hHMzZgYex0pgKtromiDMP7rxbKIu80wELBhH8BiKone7ivLSuHrWyNM+BJ3T8dc8SX6+r
uq5wDrRqug/hS3sHSy3IGOgsQB/H2HmruG0kxDSn9I+xJcj3zp638Inx6hEnjpNVTZnle84dkjlu
6h3oJcNRwl8+5kwgIy7UItGyJH5lmH5j2/sUYeq8+FnFA5Q6Cz8D7XrXGTWOaHccV2+ybP/oPG0D
whtzBY84mv8QmUqOiWexDIEEIjAKjNYzFomsKf2Vxwy2HNxWgz9/FxNyZM/WvB57bCvwZO3bYeyN
RaY+zZ1+tqNR7HE5W2cMcAHfZm2twCF6G4Tbu3wAEZ4MwbVPtXyI3Ki8g1su4O3LkinAFOVHr6+q
8whd9phOM4+DxdDvtJTdAO0tcW/bVLmjpLbdhBAn2Ko0b5q1nKdhDi4pNO0NQ49u74QRYB4en1+N
cysYy6u65PcX7Vkltncx3KDI6br9FULQ47wkzp69ebzmkVVViLYuMrDljfvCCuUqZyj1QGLr4TYT
+rRVJJtV2cDvwJNTZQ+c7IDhkzLMLomP02INWAGxK7wxp4aMi+fKnxbJ/G3pN+6UFG92QSMDELtO
PXE0KOjVTPLoQWSpvepHXx96mSiG8266cTUdjkE0814WoCKIypcRJaCExtj06u4sO2aJlNWJ6L2N
kUd01+jPDF37ksEyxJ+dIDYTcPee3HRoLy1/2rpu2+gxcWz3YjfAEVdRWPvnIQz9g1vn2Umksz43
vd2cU5kGV3Iwza4aURo3ouI9nbXpHxiuaXywLlUcK3gu+bY1FiDhRTYZobsZ1bkl1y/o0VtiYf/A
mMqPBsbbs2Jlgio3CGiOzYL2sAQkzjKQK51nLw9E8ojPCB/GhpOVwWXK++ZpsSZAc0Nr819ZbnUA
k7l8T6bwT43XZK/Ka1kFp1q3zBvRRRqGVw4YyUY/cCcQbzefT72xbcOZy5cHV7OZQVBcxShwXPcc
YOTCeg16o0FbQr9y5jLm28SRsc2m4gauFOAK5sA69oVqTlYNqGwGQvhlpxxArLgGqlJmYPWwZXBd
3+dO2T7gTex3XR4wVVywNqz4JbWuMijvEEPHnUvXqb+pkqyZ13MQ9VvpJrzjNfLLWgVztB/yFnBI
jgPv/gYlfsM657wFYxVvimHOIH9K3Olro7KUco8Ktglky+Yl1xzGd6mnkeQX32TVziqY5Z1NkghG
sk1NWXLJ8GNYJXlsvYOg0qfATjJmzxyi83WSZOa6wFdJz7WPJE7xNJYiwOUMexcPGMmGduDhTwYU
cr8Mo/rKxaKuwRTWzs6vCqvdZplS5KDcmnWLhgPC7EWBN5LcQuASSpMckcfw5sPLoRK+D/TF/jKW
PS/rkH5meZx0F6nTwqj/JZVL9dG60bi3sqp9mPA04onAEPRk5ph+UTGL4LHBG3t1jSwf2G4+PdrI
Ebw0BhQ84V9W7Sa7huquVUoG+aQDUb5lQJEg5wRTC3IkwZdbOQWDlJ5mr4y8kt1M9yrVtxBsHdbP
fW+mDS4gkhFAmIC9Cf/RnRUjhmwMmjtodkQg+tYNfpga4KiMKwS91Q3zu7LQA+XG8kcozF6F+6eL
6+kjhUjocRkR86UvJYVYyVOKNAh6qcJAkAOAJKYPES9XXU4Ay5/ovmAnOGi2mRJ3StL/CpJMQyCY
pwGGRU2WgtYpy3sKGtfFVTvORQjXdr6Z+FwmtRtTY8jZuJh1d2wj4rEg+vDkzmJ5Z3A+PllqgBgb
OsjTQD73vW7cVxff5YPb9HKbBhbKNl3HNFwUXkaQF8r8th4DVMwmTz7TSRXn3sL/2lkCs2O5OImE
bzmhujhOwT+BaBLISDllrXv8YB/z0lO5oDhc7xK8LHB/iaxNYYcTz5dUxq1zPoinmgpRax0jX/9Q
WIE1L5WO8xxHDHrRL+3yOUt9sZ2siAs0PBD4eZXGzxomXKQgPnv3Xe3oaxvX9lWMbvUwW7QorOYo
bT+XicQvllx6bk0bQDTVNyxqWt0CZWnfOq8KqN45bUNFyVCbIh/rgfknAO3SP+E3jX6nebl8NyEv
z3ZMOLCh+bYj9ucFZ6+aXa5xC7aPd542Y9aQ0tkJmHpOD9p2o9+j1d8WOF4iz+F/RJpBAO7sl4st
Kv8ETdzex22pz6ztbEA6tH+0HHCUhbSy7nFfW6/KSpsnTPf+ia502tZg/xxxkw1/9CDTveKxBesV
hK0PBW+a/lFZBLWoGDbcIYps3au+OlRy8U8e6/bG+HXxLCfjnSxBIcRCROCnylq3WS9qlvumsKtD
BseCM1pctt9OY+sEk7ZfX7kiMf1uKv2aGzd4Cjid/V5IcT4vouMfHesQiOP2I765kjsdzcgdKdZ+
8s427kU+w+dq1P1vdqAyoB1uDF+sxXGjdUW4M93WOnkcSl9f6zr3UA9YW6CPEno4h3bfP5auX5wb
h9/kRDUUMmJFj2qqmCbgLBu+FsZqtw3ZiEswEK0CWUY0IgY+dcXNmWfrJMxE84w/bXmaciS2hMPN
HX519YS4VR0L28GXD3FqLfIJZLxpuWrIutt2nQM+MBmjh9LM6sRvix94u61fk4M9n19+UGFAXwiF
6t9cmYP7wV+Wx3kqf2jk3pQ5nI82qYO1oJPwovoZqBDGgj1+LPLJSfg8Y47b5qoAYK0YXR4BlN1S
CeOUbjNhqxf3lokOlc/LMzf9RhY3E35n6XFnuL6i0AxMOKy0jKgQz/ovP6nVY2TbAImkO3VXyYGe
m0DhWQZDH7ucmabmBB345lEB4PsZ09h+h7r6m2pyCq6bXnsPSSz8y6hq+TQxzviq/EB6qxxsWc91
F/kmGXiaRooTWVWjxzqtYJPYzBTybhB/8GsZC5N+S5e3U2srXTN27xyyhONcrj2OCOfB8qt3N2bL
SsqQI0vChDN3xJiuJGpLjc+heUNP7Y8ln+82afv6MCVdsLF9G2zobAf13nZBw1ZJTNUPrfHll3Ij
fUE7HLaFmoM/BrfxeaS0h1mwE3zafoJRaB6KwFrntglPMDY5yPoZupW7DNxghJOMZy00o5yydTcB
ag7j3sb7bjxIo+uk6C2SgdgdJTOSlCaxnPLCyWORC/22mVa9Tp69Cs0HGOL4kvqT/KnHefpFFVb/
0k7D0K3o+r6t/9hf7lSYkQpdSI5+tTn6JQl5Lj2MSDmaLCV3vJXJWIzNACiFZ6gHGxXnfXIB6Gz/
KlwvKLdjE5H06OjM4pIWqmOEY+nMX8paeNQBSiSNa46z18NgyKq4JpXsNbTlxIIyrSwq5vcW9yi6
TXKraW/Y86s26bcRnMEIa9Ath9f76XLB6MLq3Y8iP/khVph4Ame68vLZ/x3a8HTIQqD44fWq2a2I
TEa0TIZAdhsiE5gkezfveczZxVYgLDLM+Gpw27twmvhj8lzGh0jXdbgulXTgw3foKKLKz5Pxp3rV
E8U8MmQv/Y3X6dt/MPLSrShQE69oti5FSAii/rqkheunNWl136CgPrF5cXaBajWsIo+t/djbpZNv
fLFMH8ybxbbLM+slvt2uyqBfdkMcTv1aog9uR2x5mykt7EsQGvGTy/q2iVGDYEU54XzpDCYi/lnT
isJw+LyUtkMjTDvdzzaKt+vchuQl1kNkGgG7QDm8WZSyWtn4REfmo0s/ELdr/TFwCD/NUVUcA6uy
tsCrNMb91vzjNF52gUOa3ovb6hwvVLz4GHzvLNOIdWT4N/AGAEudQdsfttWm95B88gtJZoL0vZ0E
63YymiSn138kgBOfOmOquzpvqYpJHGsrBRzXwvFtKOrG38ZN0N2VQ508REubdWuYiOlmKMblt47d
5BBDXAMyUI8HzuuMiSHdef9RaPhv982/s27/Dbjz3375f8Pf+f/OG8SrLGjR+z97gy7fCX3Nmp76
/5Ke/Pfv+7czyP4X85rQtlXoBfaNtvOfziDxL+WBjrUdLyC8iMnnP51BQvwLQqCNWxAxKCQiyG/S
9dAn//N/ON6/kFq9MFR4hlDcgv+nxmbH/mvB+S8xRhlI6Tuu6waKGmj/1hv4vwUoBRf0qRcWwh2z
MHNQDEY3PJ+qZ0tlTJj3EHb6ElgGEyHDbDL4a0l1/rpTLd9KQYdmARd5sIUf5QyP+t7gOqxuxyt6
rFrl3OzI7pHl1oYd8NcnW/z1zGKHKZonr0vTdwuaZPxM4c5YPzFMZXoL1a0nYSKr0ay6SkXkhoux
Y6FMmjAArabQ25XBob0KS4HX9z/s5jPDNuDfXhU/Mudz/ji0qnNfVIKATz6Ex/bmJhY5129kAiin
G7YU6RGwcdoc50oz3tl/Lcreza2Mk2g89WhFwabzahPdR38NzvSZ2PmVlfkDXv3s7FnwWcZaX5Df
GCPFMDdNOH9SKiezO2lcB/H8r+WaUwsrPX5V9AlkZNzWgVWqHQ4JHNszB7RlPZos5UDvMm2FGiFe
VavdO8t253i36MAUByrWxvzUTc0A3jbWSLrKl4yOZx0W3DxuHnTROzm2QluCVCGOsyGBj23xZmD3
CwZkThckT9PN+q7xwHtdz/hOc9waNnlYwo8POf+t6kExIpJF+s7/G+lSE3ePkWcF9dED1IHa9Ned
z/RBXmkjW+JL9de/r4pBhis8C/j6K5oUJ4LtirMQW5a3XGTvd9Yp9gl6rG1Kx6xDR7z1HSDcOOyH
Jo7oFOymOVx7f9MIwSi8x2qaHEjnLMjVXWD3DLtMSNnkTQxwDiQSyTloYqXh0ZZ50pwJLOC+CBQl
yVvMHNAo6CDoN45Lx9g2XgT/3v8NV2gX78JuznNTHG2g5/OWYw6VTYnfKIFzs5ledJJYxQGEpfwF
kKR9ZdMgSBN33U+tI2eiJmVEerT/BkNMh98dnHMdQu60h2OM0hqDpfAXcvhWQCmxBe/7dDMV/WpC
Z5gOaP2cEGCSaDJVIZHR9cxd9OSOPQartOnyO6yMyVOX+o8+c9ZXrQeMNn1Eg0Q8OMkpGEdCttop
m/egypwrVnT9RSGYOodefjC16OEj80eL56gzGGxoO+jFC9QCfFWODblwPdjN/JxW7vJTJuVyMZ7d
jeuCfcZ56NDZUAPqXIxbwCWNgSMXlxfm2mBJcehxqbQzU34y4GsfEGyBJnVhg8Ad2SHGKMtz5Us7
J42k3Ig2oxvnwO231NB5d/TtJh5nHODYDHas2DkPLmvCSselvHSNMxCPS+oZs05Wpl8gFKj9hu3A
0+6gQ65xDQuYCaCkgUTZ0Zu1FNGeoQrB4omJbtFY9C50CYPfSE7voSHp0OosQItBOfmci5j3BvJm
/0DSFF1alvW5sgvzomPF/KaYC9YCKopOqZTuI/lDjHUydLPDYOqSDk+noJwDlmV5wBglX50y12c9
jzGdSiIJtxTbFNETM2Of8IFL7gMhrx13ZHeSX9Q3UCmS4c0xK7TTgcejaF9SZbtH3MOSc3VRMZIl
YevS9uOr4ocisu7kdgvlhCRXlrfBiavfDK9NuDOFO8V79PmAeBIJBPTO0Wylicf7pK05BuNF5YAa
18X43IzU2OE4/Is7w1qsyVWWLSZ/ALcngw9r2AMBwbGgF1rZNzmOWUKXEc/q2rOpzjGMYh+wtdUc
own6OHHkV69Bxg19M068KCuKfOwN5BbP2/hsg8Hv0prdVcGiv/e6kcczeV9Sy/7VD4WzDUSdbUkR
dbtwSKjP1GSgWMLpsqpJbtprCjHag5KacJ3GHMuyn8f9qaWvsnqpGTfJtUO969bINrqWs0X+dc75
RJUYfUPhspOO2wKy7ZM9IFuuBltgnQ58T1pnuYjsW5moNoc4tYf8It1oWQcxSw7cCrfcNiJl6IBb
ZHgEWhS/EFOAt2LiyelX2k2pNXG8licx9AAPrcjwjq/hzEiV9cpJI6Sctk6Jnkr1BHfHEmvCyWW7
TgdgGowgbh5u4SXNNW0FMFzWBox0mOIVpYFkAaCW4rmgDZd05rZiNQvXjp9O57xPgW5FcrGIykIV
4FTepGvD+UAfBGUnzJ1bLzxUNIH8KCSb9woO/pNlejg3U5suv3N6Jmnx8j10hykbghp1lsKrNWLk
csR3k+cHTYcTlrh0bmdO+YuQsIpvH0KFumSPeZk9YiycOSB0rvtNhcItqFhVzctNvLjUdjPKDRcn
LokyRz4BPUygCzm0vJ9UnV7dIDFv40yoIZ/j0N3ZFiwE1JiAfDJzAHPJw2V+MYsddDRskP+5+aZa
ynLVEPzjj3I+IBc49xGY5FvLE8XuwChzDL3VGC81aGOuV046JdEDcvI0HyQ86hDvET4CqpjwDBEP
DD/xnHhP1KufWzdLkbj68jpQCnV2MnyWm4gAyN5lkYMaZKxDxvXilq37hZPFrJkF0nNiY4L68jpy
muShlgDf1kALS8PgPJFT/U0MGEIbcIP8aE/AxlljbtmIOHue4a2ui5F51WbuSoa6YGuuDE78k9P6
ttgbl1BWGePzKIh+rxonvqFDI/goN4EfejdNd/gpPDKNfrScrBZfLT4V0iayIIX7lTh9fKdMPq5V
TWHnVNoDTAEYOquEuxadDvzQ+yxmPrjCo43TNonHs5WMMYhEimO2lU/HDgXEqX9vaMfFuizjHzmq
5BMvy4vlsLHSURxTrukbKhbSiTtqmSgbUKHvN6SHWIu4uLuLMEdZ9epXayWNvXeqQlgnk2VHRxJt
EF0UPEmxgCoFm/NSEMr9ojZVg6/OWvNHBX41cjbIRfmg+oTkc5KNFpE+seSwCQII9bYz1g5Bmnz6
FYs4/EGLSs1bTWL6NmBz6p/Wc+3uaYyE72+xjPjQ7kqSWHdp6PAxxnE4zCtpoubHjcHpc7wRiTlG
ZCVxGnOcI8jo1GV4qtBpn1s7IEOS5hYRt1DX7rGeVLlc3a69Gt2go3tda26N5OP8NNPcScPGklyc
fkoPqTdDx0smbFpdwpbVF31JYkkmU70maMNrwkG8f0yXLjmWQQzQOLPSQxSO7gOUTYRDaE71likh
Bvi6KbahXcTs5ZxBfjrpTq9e5SfbwR/Fxq9JR7HwBm+WhW18ha0+6I9BVajqm8oM/IostOELpWoS
nyDzQ2rzuuphCHX7NkyEXDPiv87JzefiTgtI8euijZ13YUsHEFVn3Wtc2dh1TExcjp4cBHWGAMUW
J5a7QpbGn+TmjfzNBlls2LICPOmB5b73kf4WXRuBCDMFIl8s8uYPQb723Uk9rM1OmPgWps2BA4eV
ztVbGw/xy1jnhJCwClOJyHnxeWzRNAOe5FZ84ITBFNkuxfi7lzTmYaJgNY7SLZUn8zdQbLUe5uQ5
ywUgaeGy8jP4ccMTIkCoDvbiGDhd5I/nXVlUQ3af1nCXN+Fo+dAuJSLGQTRaMWdwCeKw5vkoPrZT
BfEubYdmp/3WnbDhBv2LxuoAlVHE4jnNcidlgstWnsx5c+1mHdOO1iyQ28l3IqawzW+qZRge0yCV
61C7zdkutLsTFqcCFMZ/pFIEyZpbKI/hWeYddUYy+b3EpURSFZxRgqJ5s9wvru1cMNgOj5gA8HFn
zYqBVbptVTKd7DKkS8tWem00VTrDSOHtoIleMxPzATi7iefdt1PYX0crWvaxEOlHw2eLM/7Wu+Sq
Kq+pPAsthdUMfPTWVolLHxNC82fSEyc8Ue4BqGRwS/91dI2yN8zZHXdddga6QxH4FKGx0d7H8nY5
q30N7liHND3ipyE0UKdhxlfoLZ9uiv9G8FMotJoE90vA591spNvovXQ7Rm0ixjKROrl8SBPoFhxw
WWHx6XBYZ+J+itx6+qeM2nmnKAY74uZb0gPkE3nh0hBEpzZrxK+sbtxN4XCd2XDIIJqV4DMh4Uqd
yBfwLQzqopJS8C1G27JoiVyFfGM9vgc3z7a8zA7DerwGv3h91Z3OC8QplFl2d+j/jMOSpGg2JiEN
gTuecpLIKx+EzWFoGyGHOifs+pHacSO28R6lVsatiuuNWnPJXfahzMWXh42xXS/9wP2VoJy8wRnw
rnBRCtX82kUaPrPVu2G2o+Q9+TFt59H5OTifmLZvUyKvO+QNy/wiyDeuvPnGwc5BLDKQxUTi0YSJ
p5TkKB7nASNyKZT+khblj/jnvL1yuuSNwGERUC7SJPkuygr1hPG61qe2xqGx0WF069dE//rbkQgi
d4xJRxoRc67x8Ig8BE2A5Tbu0/AnhVf+7FJDm4QheGsvU+S50fV5dBd/R/TThh1oByfQ1WDqZFsd
myltHn3T2pumI0OyZW8uiu2cDvraRSMB2A5LwyatUv076xPV70IR9t3B7yvKHpyk/2n6xTzAKqpJ
vAubJguvhg+/Ekhc37If7Q3gfOcP0dTlCm6JWVyRqjs4MYqENjbCMonA9hpKjPzQgz0JHX9et6U5
5FL91gMHnlzFJGlEBecn4ZYkWnuvs4ITr1Hu+7IkPzxuwAlKpquDSn8Kk5ZHHeGhLVKmxmXGCRmK
0r0sreZUepofyNTNY8A2vEv7Lv7iTEFnJYufepb5ty08bwv5yOOgX1FMTL341pG1d8RoiiCC7L/v
AjLaLJybutbu3kkr/2cA4nKI7E4e3SY/LFWAiqCGHBMpKM9dVnbuc+c4t9rowP6FmFedGXSO38PN
my+jnIhz2M/2dCiAwcdbFsnx9zKogTFz7rTwSLwAWYi2wlUr+LuvzWi1316OEL4lzQT9eMB/RXuO
gzTi0m96awGBv8Z13zQ5HE93vlfkgsHH0mJ9N4KTwm409ss/c6ahIOecINeeLIOX2VPqbhZkrRQ9
3tyJC0KkTW4jtcrsn8Kaun3Xt383kw/wwINDV543XLRiEe1VVmfrxvW8aF+CJz4gbO3bAvsulVGY
tMiJ4orF6vnKcbcFrkNJ03r6e+cg079ptZf/CdwkJHFeL1eS6csnDabqWtXzMK2Qn/W6FZJej8qm
9jb1WC6Z3Oy9ujiOIm72CebWBxynDn+hCeVCeHXFYYegzc4dmJ/Hfu/dmYL76eDL9oP0z9l3ZmAM
tud71yKU/aEtu+kJ/xmDIzspA7TW/KMtXPsjskss40PX3aNGOVtZ4YFrPGLmhR43DY75NSca7xG4
HuBiP01PkEiJZc0DuEv/nmD3uJatL8+zJxwOUuFCFNltIb3QV1SAHIDREhOUYjMmMGNzvMOyd8dC
lW15ZYL3ysKaCB2rbdeVi55CFvsFflJo9imO1xelJr0bdU3QtQ0H7yGIMdmQXVLzZSysccuKi2fT
rYrd3JPkoUarEefJyZqeUBNZtyjRn1YW2C+eainGndpFv+I15LQX5+57O2X2HguLzbe62IdG8f13
VdxvfQ0M7NROI8eQMRk3xvOooJFL7v+aquJbWfxFpho9UPVL+Y+Z/WjP+lBf22UcOQ5F1n3hYrGS
0fjeZ2ysgwOeOy6oYNh7BBXx90zXpC78+wa/Mq45rgOATROuN6to9NIzxKzq6NsdcY3efURzGNfk
ZBYOZNH8qOSsEMD7ee3o/8XeeS1JjqNJ91X2BThGBYC43NARmZFa1g0tSyS1AjWf/j/RPfZbd3Vv
tc1e78WMjaiuUCQB+Od+PMfyjXCSkvoCPZt2RzktaFNztcgX6RbinRLLNYNbVhJcWVeq6er9zHmD
HDobWxAtYv66JLn3zNzf/iRVh11r0eKuB2ubSrF0N7VFghpGLgRR/q74gFPrWyMct91aXjsd2HrP
nzET8rusFe6hYV66NXZB7taGVu33cJ6HoKNLeZ7bmJ3UIiLImrbCpJClCVnvgEPLve0VcCBE6bDo
rf4vcvxbcPmfIsfSccjJ/s9jhdcfbfdfqx9l9JH/KXD8+z/3+1hB2/+ySS7bvq2Ug4LvEWL+HcoY
iH8FrvYI22rHs/8EZXTVvwh3KlvbdHVzDPoDlNEFyuiTYA4UIwriuv5/FDi+zAz+NFPAOKRdMFM8
WtRfKevKtyIewjLgBNRnuwZQAmKUTDYiyRDvy/n4h6/n3/OpP/K6/0J1lxqTkuP6SvGNaD7In2cY
qTvR/WNrZL6sjdjgZunFxtzcD05ZbyfavzZFuBCv6flTYEjmgVRHGoseE2uYo7q73GbU0w6bf3hf
jGl+/h58N7ADn7GLq4X6Kf58Mc756VwEe0z7XzpK8zbOiO9fQSNwO/+k9ULJCz7mXZjksInmszC9
ffr1mwC0+Zf34Dn4IG1XEv0WP70H3G4yvAg/+xrT/57zJ/2YWCGefv0qf/OLs2UO8Kcwr0KY+2mK
pPiSmSGnwd6rIC1kyH5Epg9jgqAKPWH8hy/2bz4Th3k+jY9u5XMh/fn3Nq5xbIYdeq9LJXdTQPFs
2tfuP7zKz+F1rioqLQLNrI3oPCT4P7+KG7IPGkWo9iKm1LGB/7iiTPBhKJJv//GXx/xPIknweSAI
/PRC0Ir4Ri+Xb5hgLIXDAhaI3UrmlXdemt38L14M7CeVVBd0q/3Ti0091BjV+mpPKTHpyMAhKzYw
FacRMF9PqTz8+uXcy2/x07OAyQlBbp8nAs+pn36rhAnmYlQEv8TysxUnRk3hTWg/5E4sj1URZ+xl
GrmLMTAcliql+52ZyldMwOVqLImp4Co3e5r6ho2XSXqdbAGoQHpBvhECG0/n1myTgrgkUt1Txb72
CiwDK1MvAAqrsRnXHBYIX3AsGVZ2Ku9NUZj7X39G52/ucy00Y0S0keCv1yMSlDsKRhr7qIzdY8qk
7DgzUEExE8/WpVAhDZmImeiTqUDNgD9zn9Dfgn/4qv/uemVY7FLEomxBNO3P16tJ2TmIMNf7nDnc
cfIJrTKVZtyDb/nXH/ivr8RA+2KDC7wA9O7Pv2lc45JgGhTsVZgUdAvAVjJV8aWNCUn9+pUcQL5/
uYCQv23HdsleeOr3//8PA+qmcDxLuQBwfAwf22xALTM88e+wXk0P0uJCcJvuCZNUsU1Bs2cb4JUN
jSwAD4ByT+NBt9SuzUpdwia9kI893qoPMTTBgURDl9Mb3c+PCLb+NdbS6iqLKSwuTTxDpHT6dNrl
gRYkuTgU2YXqj7aeg0Md+5JQALkyq6FAzhhKnz1hNIGe3gbEJhgwhfuxoyotKpzw3MepuGU+MZGQ
jlu5jZCBMfpRQMc2P/0grVgcfcKTWzvXy2HWlObRJ6+OWdOpN4qD/dsRuf+wtESVLUTLldBGYhN2
w7OTzhuNAWmbhzT6xgL2N1FMtPKpr59819RvLjOID7qcgZvFgFWRqxosfdVIF145zLtSl/khsbv0
0bLr5jawi4DpH5G8TWYmJv7T6DUIRkN4NkMcvsSaLegA7v6bHC+WH9q+3jMrfUXwpcklsypJK7wB
oGS8G1XEGzSRg+dbxYHeOjRIM0Tug+MEUG+8WAZXtu+1t8uALTXqGrlvG5Pt+ThwBwdMViH6zKa9
lLedhioBUcxTar7WGOMvBYNkQTa47HtFLACIfd6Mww+2THwnGEyv4xgjVZX3DsnpEJqv8Fy4/pXf
vjqE2F8EwCHcsQLlbxUaW7+wbZtpcSt1R1S88GmfJuY5NkAeDCdZqIay2FaNHYLriYCDMMNh6SeG
gPufElX/MkIfAqTEiBbMEjXv1m0vhonBasVHKDOIP/y2PIQGaFN+LcR7XLscz7XrvwM2sHH/QUW7
HaLGBm00ZLxO0NstUVkqXnly+rMhIVeM+oUkQ5e/gKMvsbnaVCmIlM+gQsEVr4nAP+ZYumEPxCMd
nmxxTkVr1qTDaTSIiNqsbBBk0YYDTJjuAw7etK5n/Xztgg0+LbKTFXCjceYWivAKkx3buwsbHEaa
bvFVemLQgHpJWGvfUKWhUUy9KOsPQ2hPZ7lY+HLptdf7ivQK42+Ehk1QhjdZP4EX8yrmYHhCeb/x
SCIRLzLElTUKFe0MFtXB1+5oICA6zYnxprmKurJ49MoR92Ey7yYy4E+uractSbVu1/LeDiP9NTvd
dPoQCLvg950AZzMKYxCMhsdAPu/lDqncecESq668uflBwLXZJj1oMANGlJYoTTZhiLzmaDkwS6Ay
umumilQCOAtpEwssx6bJM759gsGYV6k+j6eZZE5pcMn6YDC9Nik+bBOllN044yHwTPidclsRArca
x/shtTnK8xM/0tRoM1+yKOmYh3hvTazCbEUZu5CHund1Ox+QpYu9aXuCQG7k7AIbwl3h6t00sEGc
FuqIQndMt5NCqjF96qO3nCKRBGSzgqZbF5x0f7RtFKzDNHwmz4z32wDZtiiYvcJsoj/wu3vP7iKg
7UeRBzUuNP0lnRoeXFtUtGXB058EdnlBA/cpyZxhI2s2xzjX46uoHt4YDxJRqGxiA4KJ39j3/cGE
S3nuciAf69ofl01VUocTgR6gm8HC48xYjlxfwcbbE8tN6zXxFk7p8ug2qj3XS5Z8pSOqWNmkfdcs
88m+abLprh2q8cjYLnyrsa+uMO1oTDE+nCAzW5sSRPE5Qlzu0U33VXtp+S5DGH34a/PigYR1jj+1
kMex9zi/I41FCyyinGbxXeXJ8QcWkQ5nZI3xmXvNct6YoHpnP2/PI/oE2Yw0Wk+jPa/RgJzrvPNQ
ahlQ5DuTK3yEeTXuKl/X+DA6DhRATVb4aIcHsvtlsjM+ROu8w3qZltYn3barYlTiiU3Ssu8bknyk
GV5GSYTbcaTYjoy3zgzQ7uvEXHspAQDlWFi+eYLvw7D8cCqS9CBhJo/eriSCy9v4ILtbBSQ0WXxq
JUb8jf3o3TRjHz6UdlhsFfjZqzTwz35FxFAHFkltT2LLGfvmC3C5YK1meKhyXu4I7ACIH+GqrCRJ
4jemTNMWLWzeEafMPDgL5NwoH7MwZFVzWT+zL5vuXepfDwzzwr1Jxnzt8LC5IQtQr5zG0o8xn/fd
6HEwm2zKzaV+uJATj/MGDIaD10RtwFmENgKwyYatrPhGGBws6i4XpWRmx8PrdYhN+9W1kKXhzmiD
uYbsRbCTFI2uu3b5nAG60M1+SXGq/gMRBJPSbJZVFyBQpb7BMSA0Fa9z/sCzf2Pz8LnhJmz2SwqC
Avtd9u7aXnMCv0ImoF8WskYXPgU9l7skAY5A7QC38WiuzBIC9cv9lwGnwCbS1rOXj0C0WOTvJGO4
XYttIiM25sBpCOXIlZu1+Rp3R/PoSvtRJW1zqOoUwwPohEOHDHqiM9gHMNeDzqVbkqd8XwK7EVwU
Q+MS2KtyueeRYm1DQ6XjWAO1mLvCvYOsl2xKOy7fq8Bvt40vtiHQkStGSYhpra4+WZDwp+OuPyzS
Hp4jh4HWOpnE+MPki/BXFRTDTWraZbUsmlrPXMw7C4vXAUxKcYRL+lm5bnWaKAl59Bzd7Iw93yVm
yE7zImi+1h62N8exhpchy6JPsWRmG/Pb3DbYv49KNLSS0gf9sIicLu2C6aVu+huntKJdngBAkEGK
HpalfXaYBnvajylgk54SdBLi9n1DI/wal5a7W4Jh2i2hwCIT0Zh+oqHdBpTs2jvH67sVhIhlR/tp
duXPCXPeruiTcU1EbSRuDonLndz86lJz3O3Kjm9EyzTfh6V2jj6e/1Udy6vM799mM1XnqZpuprxq
vwuq6K6b2qNnwMmnNWfDm96r2q0O2/bDa6WADtEMx0LM+6yyXhi+YkfsF1Ac8DvKUxUWiKj1BGar
l8Xz1E7dDYAjLPEsggeE51M5F+bZr+NgVeIIwgE2mO9NOS6s3GwKcGmDo8bJi87r8my+CPQ3CsTh
PeTxck0gCtx+4VrZyrPzaoOQMdzhvn+tmfpikeivY3fI18U8bquY5zbBxHqb9xOwTHI29AAse0Ld
ECwwzrTEQ87uQhbBTZLkno09in2Uhhtgmgz3Sy9woeWULy1D6l2t6AHI7G+lTA796HRHYm9EhAj4
EFJUcEhInLL2Tf6hSwRAGYtSUQ0xqBKKrtZ5hsZWW8FJVwDNXCDZB+iowwRqqOnh5XOE2pQQ6/ds
5bNtEAFmkXEa7mNicHuP11+ZQnzD7hK+qQJ7KhbHjT2iuC7pciDW+zx3bbBqB+L2Vv8SpO5wF1Nk
zFf7rjuLNTq2vgVJ9eJ62blM5GM0sEIlhXNL+O9HlP0wYzDsYSZgekmiJ+aeDF+bmjijuk4EzHJ3
wceh+vY6N9a14QoCfaGzfTh6JDMmle4i6EGsUtg962HvyaZ4XbzvSHH5LnAbZ+2MacGEvSYeK2aL
H7BNnvoqaXmKlc9mCV5kk/Kv5iOrwy9TJa5jJ3/3XdFdtaSr131uSIsV8XPsaliWxdMYpO+l2xzJ
hNEC25Y3nsx47y7AJ1kPxHmI5NG/VBFFtvp0A6IVnGvjMvUdmx3dyA8pd9WRFAV0Z5syoHljBY1Y
QcwgPTdgS0zj8CDpGrstdSQg/Kv2R5fnGtGMyVRoFSedCLkbwnHZF2P4FUgQB3OO+0/dxSZ1OeRz
y1KO8S1enHpXAIiPwkLs6NvIT3NGTZiLqeeylZINUUsSs3FOzWI7lbSjO4QUdVmeXZ+gRFtO7FXq
EM4zpsu9FXFEaMck41RvsYfhA6curK/JvXQD+n4Jh4/fm3MrVd2WeqSq+tb3xmQtXfNlKJZd27HP
p4mKSV2Gx0mEPPPxn64bTz/Ei3f20vC1m8ubgkzxqpz43SOrtslD5eYYx0vNol8+250/rc0A4W1K
67fUoWIZcBH+weqrsvxXmYO4Xgxr9ly3/Ggme6ldr7+b86F4mRBDqeAS+cEQNj9gTau2DPvnVY1b
8SMZ+m4f+3RK9QgiJ1VegjGqsTZNMbK3VeZLScphj3mAT2pDFinS4VY42AvjwgMb4uX9p5pj7zap
JnZ3ktqqmcDpziJEAY3ZPpecWXYp558TLb5sjmARCtfcmY4DhqiD5i2uLbEv47DfI7E8Nj1jyxC3
hxgi5kpFd9s2FmQGnh1bn0nxucLAyqZ/4tycOKa5WVxogiaZsh2mBNoWSvPKZJ0hSUBLsJsY3M1h
B1xhlNOTa2F/UiXQx9EQa4wIXX2b+FAnZRQl5RM/qev09cGNrZ7KwdG+qZsYbhfUu1PRHLAZp1u6
y92zPTc5jN4+PWde4L+0TiVfgkn8AMzsAoMqqbJgqvYKOa87lE5qPdb1QOMf1/ZdZ8gcQt6Cvep5
1r7u4mE/FVO8Hkn53oi+LbY+Ms4GLgnukAYXLcQISIbs+1r1TOEJFPWIhmkbCyPlJ2h869xrQeX0
cd0f2wI3GSCc97lhqwgWI/sWRjHFJY0z0+PDVqjjiLzXZNLRqlP2SqkNJKkpBbEgKU+16eb3fiGJ
RTR9m3P77sC19Jg8acscU/K/poioYiSUxm4xq09KxcMGpNt9jBC1HpiinZdZ64M7CJqp0VIyOr2p
oAdHf/YnQ3ulTZuYHqed5kbnLAVFAubVAFvGsK8kh3bWI24D0oTxWmQOU7cljI81SGHi+fQS0Hcv
rnidedsnWbxfBDkCJmPBKQw0xsi+IsKVsJvnAPZI7473JcOyvJZT953qgvHNySICbEt+bnDxvWIc
/c5x3DxoHEAgFYxF0pQCi52TmeHKsttn1xWvvGx7Ko0+xrKn7iRmO9z6M5W0IZKbC8qp5Ycy8Y1r
W2hDpWm9bdHbaEGF5aA6JpJiiZLLp6qoKIurMNpx6PNf+4gYHJdgje2VZTokGkaxTQ/zEvwcyPpU
lvdoFeVzbY0aI21cf8Dh9x6SIbHv3KahvnTmaEiCPjH0lumvxAn0A3qcXNcWaDEQxBUpgYXMp1bk
++qeqtC2NNfwJrKt1BOJ/IlocN2EEuhSVewtkBzrug3Klaec5DTHhHVXTKsVbj6Ym2m5fBlbH48o
MOG3uDKQbtLUoHDIrwS0YGHTMrX2PSfakgqrb3MP/H82zAmWQU5aAd6tI5ffvfZl7ZC0iJrDFHnx
dTSUUEmrKrmCjZrkKxo76uUqn/pcMTv0hvs5tf3vQzo27skiobofRhh2eIkW9eaUoAG2/qgmsTV9
nHwCSjJq7dXMN6/jqJuflgIG4Tqnpj7cBiCNfWy+Jn8bpeiZf46c9JZuebLdiLTrkLM6zpm/YWry
mMqeZ6Y22TdMQPEOfNC0oTQD+0KJ/Slra/EcZiWu2YGeD8ec6PuBZ5+xdnCv5su5NBQQg3Hy+BRq
aYnck6lbkR+rXngh84w9rHrLLs9OvIA3FXaaXVrW6lrE2tlBb4t5zAVd+V5jMTp1onC3iw8xceNT
F3VwRDg8j828PGbhgLcbK/UZb5a9HS3fXtmlNa9mK0Vlb/M6Pzi1xjdJgq/fYOlc5KqbqfJUF+wY
lbx5cOkaAu4aqdHaJrAX/JUfYxzOMQ3tGhWhpdM2GG5w1TugLPreonOxoe6U5uD6Aw6OKy6/Sfak
eP7c9EUAbbkUFgB3DpP7nq86uGb9xv2TuOYhBHZuO9mDDHSxxzY/rQX6JeY7OzqPAtdZRFIWJWfA
FzJgkh6sGwR3LDIh8+8h5MHLHGEHmoNAYVY3ezXA60tSQOQS45tFWZU1ZQRtBt1kZ0FEepU17Ytq
kjTexJlncUCg/kNylDroIXDXxoBfGDXGK4VL6oEjZcj9X6R78OSM2Juad0XlF4YNdjein7aWc/EK
LOP3pYUMSGkW9ZfL+IIr8NCM3bhHqQU/EYT2XeuW7dbTgb0qeysDDwl+osRZtIas3py8IHkgjd1v
oT6cQh9o65qrhbIkVOEtqk5/Vm3qfqXdOgk3RVrgEfDsWe07Y1NORINrd+Ur0++VEhYESAP6n0yl
3gMOrV+RP+p7wkDdQzQGHfWTQXrLN8+5GOlu5wxG3bKXw8jbRMGu4O7bkDX4gWHXHPTiTLdiiaCZ
g9wLv6LBssNHL6+vSi+CserzzLNXQ6uU2gGos7ItAFU8NdRSdvS1+jYNVCA3F4qYxomxYyFKUpBY
EvUza2kvLp1SqFmCfmVE3Co0y7HTcw08FBPtPgo6Uj+VKs6dyNLnDB/91omD5prgBFWr+E5RkUgH
YApdT6Trt3lc8bf3Y/sg6NvaQz22b5FFFH91q5EvWhQ9odSEiM5elnjW1Lj5bZ3xmI5dG8tOCArZ
lBsSscNtmOebDmskoKB0ywkoXGOK/OwX81x2k6YFfsRR00ZzqoiTt8VGOctbUU6vS3tpWukydweY
aWO1l8aU+lK2PuOWiSo0IQY6hHUS66UdrWSjE7RLZHeIcfGCn4a+mKKIffjFnLqaSKQHShI5zA6+
hfASG+/IDpY+8MRgm9/ZHaviqmqDukXaGcEmmEvZlt+OOEQDi0T2iqmKdYOBa66wwReX/nWl40c4
GOKKTV91dFOJ9TeJ60c5zBjEVCeddlUXLVNqBA88eUvvdneth/uHB5gnn+yobg4mizhEGk4r1cYL
fXOCnWYDyrbnaZcFrVlR845nfFTyjc+17Ii4t5dBBUVy3jKQsubEkhNJj+B0OUvjfZ/dhk0vPCy9
gakAfhtlsX4O5svDErIAEnLmhd6nLzM8ZyP0w33KDIHlDb3kleC1euvmWF0zkarOYEXVA4NPdZSu
5z3bArIwZWC/FYtY/giqI2/1+zAH1YUcVpTksZbO5tqmqA61H9GuFwX3VjrAa9rgR3d+EPf2noGX
2C+hTZ9tpmizoG61LW4B/UJTMXB2F2xJfvYdcKF9DCdoHTaTkcekECGdubHVsu5U8susfHULryb/
mqslRDGNott+qnzivx75gbaPio9U6OVUFz7/vRw1MkRODx2cZdyvaw087lEDkKNTr/Cdj5ac3WE0
HYmvNojlXWaHqBFB00Z31kKUAZDzzo3D5MVudfdZlXSEMEQKX4uoqN4t7v2t1fLNp3ydGeQydam0
TJZXbHXxWwm9FKNoEnbvrrHkByqw/yVvZ2y/9YKF4IJi8Vu28ItHbLjkEjnVlu+zpBC5oV9g+iS3
gOMa3WZNwsRftaBfivXclN6LJYr46NGSdjbjqN9TYtJrW9GcY89BcpLIzBSEWF29qysTfiyILNwA
Vd68B2UXnhb22myql9zsKd1lPW2LNiY1KJ5YvMofQ9lXdyC/8IG67IJWQhjgdAmbICezvhBGseH7
YKNAu7FBdsDs3g9Rlt7g4yDqx2O/2Xpk1+8Yl3Wc8iL0LpHkbEpKt6gf53bE44yHHaffjNcQwmKb
nt1uzI/+OAfHC86bPFdVf6eemMFgBfK4IfGjcKa7QZI/tXq07Q1s3erMA4NElZ/wy7lUIlR7jsmT
ux7chlM0YOD0EgLLQVWAtnC/OakZ7xGsxzvbDptHMajqB1U0+bm0ywwkcig/aU8NzmFXg6XxlYU/
0Bm8TwHp6Ackh9EHWlz17yXWk7fUmFZR56OM3AS4zvHujj51IXPpyQOXqt7EDEifWtHgNaT8AgS7
H7b2g2U6/yVSRfG9jMwLpudyXbbsSIYZACVIwYgSLU802R1ooPmjwJuscNIVtAarhfioQnpfDm2H
rCfoNsYTOk58yX09sMGwZL3YpzRu6CKNOwcCAQTL5GaeOorvBFNXnhERZUce1RFXUIqM2lBi3e3G
peHSKcqhyNduwGLjQhIklBJY9nlofMDTXBLujd0rBDvV4ZcTUkW/OVMz6nnaN+j+RNEomY6PQ2Gq
h5gfKtj5QesThGzMvLWLRn1na0SFuE6K+VsKRgRxJa9VesBaS3EIE+N53nE1p+0eTOpFGQRQINdK
l/ILfDJJEJAt/1UUeuOz7C4rm5bjPlosVHsLuiRplPmrMdmyYnI8TiuO1twn7JH4BAwTHFcS92HJ
RceemOMAgc+X/LuJxhDJshPrWM5YRRznWnRImKwFvpF7wnV+vFEo2C5tWoaBh8f/8eR0w9Cv6tl3
ym0deXDLekdVAKjiBOmsdeiGpxPnqCgJI1eGRd7ZELVLcK+HzTcAE7S0Tb7D8s/oZr7KMisnYdvJ
t6Vh6sAQg8NbYWhwpg8s876neWdfzRiCOeBeEszzUJR7LxvkOk/hvwM6qRjmBeWRulIGZYph2p3U
yJnMIHtWkzZsvy0pQSXUScu8AtUsMEazm6ji+tMbHH0lLF+fUtxWd+PiWYQ5fU5rUOjMeZ57a8Os
ljP+nO18CYzbYtq352xTkYDy6MVtgoGqdE2i7S4OxC3O6WTvRk30FBMTpFevtaZDWtBWuWNuH+9o
C/oQdL49WICyv1kSaQe4MoZiIkG98NJnT8W5fVjGSiP+YsIFqAysIaqcm7yurAcs7f9kxPir5UXb
Pi4oFm4XOLB/sU/8wbEQZ7aq67gJLmd6hqecmO8U4axbggQJ6zZb1duBDsxnexhYSn9tmPD/zi6B
BYUpKF0fGG9+8vcsrgU8XE/BfpZRd6tlbQ6DaZki2IztgdbYkJNjltaKCO/3cWFJMX1P3dWQOaue
XzaroTYFQYHYWWOmzUsGTCWknt3INp55s+vcldHoIcsUkvQDK+pyMNKvTsShAa604C7cgVGFQBv0
cGrl637MYPOC8KxZ63MLYRvEbTFlFG/hDtrIS50EqUvSwqN4IrDAZGycnbsmkd/SksIKSw3YpC0e
+GlF88WKwxhWqQnS9q+/Otf7q9NEo9lSx+K5qIM/oxAKLiW+Pp/dOh5Kzg32ne9PcwUucD6WDpal
ccab4QEwZkbUz1dJ2887TUSr5mICIu5uwiTS0E4oWgtWfSG3qQbxYsNNWleTdTWRSt0GecYG2EvT
Q5kCK/j1R7gYSX9yW2ktGGj5Af+OP+finPvDpZewltSDNnpvm5rW9BJkQ74O6C+7WqzuwZkGuRlY
nNcX0+8JNkX/g4lXfzT2xa2H4CacEgt2O5J/LPFt/Prd/dW2x5vzyfK5rtI4U38yCdIjZ0lHFhoa
H0IVo8hIX4O1Nf/wMpeynb98CcT37MstwKPd+el1agbGfhvWes/4c85YvpV1GLFQbyZSb19dDvA8
I7N6XdI8t4HbLh8SNqHTBmE8u8Kzo28hqmXYZrhZalEWt/B6Afxn4QKdJbGf6i5rX3791Tg/fzc8
r224HjbWST9A+/nJpkkYHFpAy7U3tC4PhcUlZqZsxEGY37DxOIa86Oy2spMK/vGFtFy4pAyHPD7N
uM43mBnm7yLV0/Vv7+v/2C//YNJ2hOSq+p892v9dfo/Nx3/9TS/U7//k/6+FUlJoJTRG6D+5tJX8
lyLF6EmHdJTPH+Ia/XctlKP/5UhuEttxlBMo7vD23+gXgDHMo7mHtJBc3vo/6YRyLuvAn3yZvIQD
d0brAK1HyJ8WKUlCYcDeBhCTOWP7CP01AKholfWGKby89VUcoNrQkbMr7ana+fjDtnkXiX8w2XLr
//zY5W0oXLacctkHeMFv7/QPzyxbDJLCDA0dyWnblywA4EkQLjwOUeE+9VmiryfqnBcgV0VY0blR
9cyotUVmeRIH/ifaGZwMIzUSzRcS9jz1KDGlS4FW001BO++d3c3hcYGavUEG72/iNGG2khKp3voE
9e/j1rAUwZ05Mtwwa6uxlm49RXm4tQyuLU+oeVtGnOdju0etdn3lEjwio5UGs74icgWsQLtkfFL+
/MUOMzlHiJlQ4a3SZfHwb4rEsw6BTAUiStt5H7aw87OgxBsBsMkRBia7uZpkt04kQDLP65bvqN3i
CXkCH9XsDSSxxvaOowfxKmwCCdLSWH3tVNAeezmY29jvnJNdMemQcdCT5/G7uwhbxsYvXXbLqXfK
KyL1hBFXRS+j5xloY4N1icOjj2/lzekZrlXSdp/jUVu7HiHmSI86egNB2esmjqwdf8TeE0GXm2qM
zQHNWV9HljceaW9wNmbOQVlGM204TX81d1Zy09MBuK3Hpt6qvuE82XPQ3M1qxKnQ+TR9CNk9Cbjn
yC6Vt1FREz/m5SjeyKuFW8K0Br3NJvvTegsfrblDZZ5XBQS+c1Rk6VM/TtbrODYDk6yLdYk6NUyo
UAobLBbEsc3wvSlSyO5FVt6TM6MLLJRWfx7rwpySyPM3lDfv2mk8+3FzoPHmKmhiWDcTsfPBVrfK
SxnI2YzK1gvjGbfAOGkJI7aKBvp95rHPbFvJaTGeL7XVuJFCsuotR8RWtneU4spVHocN0mxbbsbC
YIKkn3ZTdwzI6izr3pI06ui67CpwvHSZURJhfVVLM22DoZxvCo5jJJS5nhIuqx0b72xbM1S6/Cf5
PcLHtR9xEryyYQHgD+1zPkf+WPKalXNvT3DE+2KYbu2aCHpTQ0wdF+JchS5vkxwgRFz0y76Ouu4e
44fE/eEv9z54wm2zgAMsPEaCA0OMu2xOylvoINGWDJjYEp6Wx5hIHCnQJtqY0uZ0rLr6UI11/ZKX
1HnpRMFmyLOYkVLxSWlXtHVGXTyF/oWKMnNG5O9gTxU38jBMerme4sk/VqIL9iUSB/nbWXOUoFuS
Chattwbf6nqawnpjIoLaprOCLehrHCOKbX9LzNrQUoIrEaKclNxrnDU3Vj2xNy2LuQCLlnuMTRTV
094kb5PW8h6GaVzbZXsz1QuJ3KES56Dy5/2leXHjD9I5R0F8q3nIbNlh3do9R8t4nBjul/0VJtbk
21yZ+JOpW7++4IjWjl5COi5HWNTKa94invoHj0TvCbQb7U6jTxtaOYidpZS8BZSFlQlzykOEjvXh
1heFJe3EocNI9834efPAkzmg3LoyX9ymRyZRVEnoSFKlXSd9T2+TH8nsGPgCwz4kglWI/j8zq2VA
vMGDA9q4rSnSDGMqNkWrg/qmHOyxZJcQwa4DBrWJqSLapdHgrXHBwEwMGUmuIV4pSlcb22PP2A/M
qxxvZMOYhBShWAA2iqRayDhC5cE4k/M7Qw3uxHvhBP295VZYtuBkmJcWijS0yDCC5UDHO4sfaCdY
yjueafO+nfvyBGgyfqcKDxorCBbu6/gStJtwYwHLh6iMUqIn7zquM3FS6CD+FqX6x5zJLDrWZdls
x74rT0Heijc/0d1hSdHfVmiZZDTY2O9p7JvQW+EZfyZVNtfw+033qdqgXYVkvd8KR/eHWla3ZWyR
NhzbQ0kjFcxdife2TPAD1pcE+WqWmjG+vfjvOP7QMCSTxje/MPlRp/NF0B3VMRyTYD0XSJcxejDk
YpqmcXU0YX4HX4zDbRGO/nSU6Tzo67oIneyHtETbPzhp4T9GNY3uu6626o+WW+EjDN3ypcpj69xE
sqRaqWKB3jqGVyv0Mj7XeNosFqkQ2WcY3rJCW1dzIKYQJzUt11KO0BBEh0JpJ97orZmYeaeoNt5D
OQVFwEy5bNd4LeWnM7vigaWwDY6jSvP0vmvb6thxFH/sTcOWAFAV9Q1OQ7fcUOjmMypAk9EQruTr
/2PtTHYcV9I0+yqNXjcTNA5GEqjuhUTNkrtLPseG8PDwIGmcJ+Pw9H2UlUBXbRrVQC8T90ZE3nCJ
NPv/7zsHoqL9jQJuPjDcctFWaXkCcuP/EAemURJZpgJWJtxzpBxYzwAPyMAlrryUE3+rWZZ7OzK+
7LQ6o5Hw3WWDlVE2N4en9TP6wmZPaFJv4y623C1UY7ql3Hmmi71E9p4ifbxhD8OkCVTSqmfP9Ub3
IPcfOxF56qgz9C3aP5EKAUoDQWgD8Spiux+YjfleBW36ObpqsFZtnS7EMpmo2Ju0Gtxf0iQg/0hV
WN3n8OWdjZb75iYXBunFxQrEVZTERgxhxNdkdMePvK1x1hij/Vz1gkSM6NytZU8VOwsjfgWbnBw4
1XCCl5rfgrPWqEK7bHWYT+m4o23fn4RH1I1TmnF1Z6uCVDVAjBuX6gf+j7VFEWOQP4WO9tpOgmhM
ppoS4FGZTQ9zVlj9ZllmC0pwogsQpEXFcESMQzhi0gLcOf2GtTGGVQtWgnxSd4FiWqxxfQuYvo4N
MSJGc6N5fxaqWZMQ8Q9JMS2PQ4/DqaVuTb7RLAzOYv5umhQL+bJAqc6uNar66VRHyBWxkI+Dtfe6
aRmPXaWSI8eZCqSdAHLHsUG+ON3ASpElQzkyE/HEU9YwfSW7xUdhqdjcqtZub/yqraswOLZYbkAR
uaCbc9M7jfGdz1bhpSfVwHSwjuSyipQ7H4Sy+i3cz5jXkR1sy+Zem2Cyu4MhHD/qZXa3vcNn1Ela
/ywNthdpDDCB3Fft/JAiuZvOpDl8RS40Mjs7Wt5Hq0ebGZuOBlZqRveb82W17YVbcz2k5PZuUJ54
ylucnXYW5VkIPsZ/qAxelrvZHKQKuyzY+cY9a5wF+U4RXNyzVZA710x9RGdSNw8Vrl1UOTTZxVBQ
UIxMMSNxM4lbVtXiXiSL36cE+RflAaSFJygu2Yse2C5ZkON3ru7yg+rQr4CQt7uNqqv5R1tF7q3B
/Kh3vw+iEPw4bsJAdR6eN9NG9jqCwaPAUPgg1SbgFCpauRB9VpV2veSAhyJdo0zChBZFBUn9aXQO
S9XWW9m05bn0BvNBjV6Dj3vI3ibI19ZR044G5CG8aB9EUQMtD+L02bf84b5HogdosvyQjLr2mrHg
7wFgKfySe0G57WbzmadN4vLBHYY6TCb2qbgiN/A+9DFjMNBmDJa9LN9w6CETiFf+zEypW2EwNL6W
Meq7ncYddfSV+mpsI3hsGPQZq3mx8p+h9OLHjKcib38Uhqt2crg9DHM0h2xCy4sHDQ+LjTbfGHEF
T7zgmlNljnCsA6Pfmo41bJ0JRK2CgfvXzWW+wXvjPRKKtzhAewPhzNETPEVr482QC88QQCdsLIO6
NHcZ+zr4/25zW0bJBH/qLfuhBY23ToNl+kKBE10ZbzsMNQ3afj3uswJaEgG/7qd1sO5Ru2hCzxU1
b8444tBJf80V40PUcigATX2y+Qlt1Jx5G1gs1Wttec5G8qJZ5TXx2SKNvMuc5MmbGNqHxoKfAZCl
2+UEftjacLk5t26cnWTWendyWj7sK+4YYRDTXTOJCV6dyWWNkpenvMpfpVX8IF5/7DVxukwkmMKm
DJ9BUo5ArX3eTEASKo+puQSZ/pg3TfGt53Z4rDh9rSiYx+dkyZK99GNCXeJ3Bh2r73tnC21lbcYQ
u2zDSbhLLWNIuqXYCl5IQLBxhihspzFE0oEuisUCJjlMqXtMZkn8Mj5lSyovsQdCECRnS5IYGfh6
qV2aFkIbHBkLfOgAjYiEji81X6Yt9BbC7j7TcrPJ0pBsbHZlawyZuY2dk98PztURhX/UZq03PUaq
0DMQMUZ820/DDHB9ZVet4AhamvePIQOamY8GgIo8rNxpH+VSYgtLj37Ww9Cn7Osn0Ac0n+l5PZZu
HnLqSI9wBdDsWmo6tZYL+ROXLPesqhoOwivI5RkKqjDgjHZdZK0TLsu0d4DiNSZniMXRPlk9pvoA
C/NDtBQ8/0DLvYmIWfY6AYl3p7QbpyRugg+T7fkOyrt4b4HLAVCK82NNnDEUiCAvueE6G3cMoDui
Gf5F1c9+l95S3zgBEwqKoGtlZVQd7LI2bkIP7i1bmoxnJVbclUNB7tz2KrkkRYO5nkPbt0AkevBF
DXoQ//kfOk2kSR2kUA3eoCJyw9mMfpsT7z57XuM5c7G7Gy+NGoyTNZMqqUFt7Q0YEweSnMFllGPw
fBcdhaSSFHs7DrDaK+1NBxU3dL36TPydWC2+KInbJ7EdbpFmcVN6yjgnlO2XkCWsMgN+PXtR49DZ
1h4ouHE0wTxt6On0D33Qd1Czs5sLjc/1iSJaTvtQWe8NXaYhMwlT+lurl59ZMj6Woyn2WTI9+4B5
YqNAs9yScxP315KMWQlVes3R8L2Ngw8yDaGl06+WwcY6byFmkjdLbmoain3QI0ThNVOenWy0+By3
1SHws5NPzxh6t7OcZJsYG8/1832R+TtnBqqZqSSH9lKmhxFt7M7Ww7NplygQ5lKvrZwLHqEckgsu
x/ADHVm5X/Aif9uWuut9PLWsU8odoRp4RhKK2yeVskNqZKgNAuw1VeZFpyl3i40Bcn4fCG76q7JR
ZJ9ZOyNF9sIFAu2BBRJWCu8ghuQkChq7NttZvHXua117/Zm1iP0Kb+zOhdM9fkMLPOyO4FBBeSqa
KQf5anCB2ab1Gwm6PPRtriiLZLMAU70+wVjVzyzwnu5+ATUjvfTxDiaWOvZF81NObnshZkiKKfbN
csMD/mjWfti0otgyYqoPyod61dgTno6snS9guOgueZb5bfPfR2ttgHXuldN9v+83B618/2kaSncb
UcoLS4/2SZzXG91M5lbqfj3YEVkUBAK2NMybjlTHDWcK5msBv8Ui1CHbbe/61m5MS7LG6MoPZoaU
1NNjQOoLr9Oqbt1zAW6KCpUcz94c+WdtV/hXyYQuRBlsotIdrP4geCY1F6aJ/TSn1Jb69Dfrt585
bpEkmHXFQdxq6Lm7koheJyDx8do0KGABDmDebW4qoxihGmvBLZumKG+ufSbcvWB9w5o0HKmurbiH
730QkCUL4w1v2x85Wg/4coNd5y171xAn1yc5xVlr22j9OVhj3K4n284ODa8DcELm/GBHyedgW7hT
aD6AxXQfCzX1X4Zr13v+OfQgji0eF4iD3XAb44hiPBPzvFR2E9aKiTrpSnluLIwqyrU+eIAT1TYb
lz5jIUKDtWnoz+Kt8Fh5K+nD7WqTLWfodUtGeK76HzqRFvD9qVoFHkncbPCJRxeSGIh1kEl6KPDy
JmPx0siU46ULPrjR0FZ5gW+LCNlzYe/ycv4wah/Q5UxQKh3vSfXcyftnLtnYn530oiJNJFf0T2Ob
c9QDXPaUdParqkhTehOqd5GbnBfpsG89QYacAuAW3iYNqZS+ySSF8zBR+cJSQPEqaylU0GjaWJ25
ke29yIVo5OhkZ8ifJwCtKV/H8nlQJL51eYyCLtizW8KIEkyIc4chCIdKFC8YOqePoOyPakGnk3Ph
WBX1RFQ4n3asFvEx5qyrDmmPcx3DKyw8kSBK74R+ahYd/4ozAfTWs7+48r/YbOZGYg6smps/HnOu
Fzo/1UFw9D0kTIY2hOjOhsy5UMt7umny/L1j0eQrx+ExLhi3DENVv9kQNPcYTMk4pWB+N6Ku1ars
qXw1EIHPlsfEjGtDtNXkDZ6xdGBuNZfpUi3OxCzTks1BSjUQ/ZkoNLG/MDwAf8GoJn5QJM9qC8yf
Z3lzsGpqO33V7uQ88DnbAC4/zzLqzgo66qpSJlOvw6Isn0z01GGuc4wD21msJQT0iKgt3ne9RN2e
kvVzEKnnwqqSnVepege7OHtDMFaHjds+DTZWGqRf+HEhZ4RGRNQ95j3PORlphkoIzlh5faNTBZaP
c8JMvwvUJ0TPw1KzVGrG8dOt9MToAMKjTGPnkpvwFWKdEDdUeVbjhYr5me3HyfbPXlyD2GIuhHrK
Vfx7kc0QKikTJlSN+8dj1LXqqG4+4WaYrqqLGzwd93k4kJeRSSoJL8uK37PFzZDfVeWRvMhUb7pU
wZYz4GaTVZhx+ozYzH4hYQQAmtnutuKkyYEqG8LC4Y2cLmaLs8Rjoc9zYc7FJXDJcJ61nE+lq4y3
yKppCddcPTadIcQLamAxk5/J4FnSF1PnqeNI5kVgufUozBNq4ZJPZ1ks1H1n6VG5k+kpimnA8Uvs
jWml/Zm7vPVGacs9iF5iv0tqjo6R053HlgtTadgmBUOX6qqs7F1DVH4HfZEDkJCNAJAOuynUdeGe
Td2HLYc/WwRWu1JMKc5B61rPQ2HFx3y2rBce/IAvpZ2QLGoIFZlt0+wsVdjNdjLptSJerqc1l/+a
Vx8g9tlpyPUR5mESVs1W8uVLnhdENsbslZ37ZQACzDBzLJ9UU8m1mJyfKDDt3yZCviQEmxD9ifK0
eOEY8qkgckMPaa/W0L2gotKhvg+8hmXc98tcb5EjdqdpMvm4Aq5f+7LUe5BS5VftUpHya3DxlFPM
ja6A+8WMB6H2ZcsTOgtSumZOMHP28LUt2V1CbToM6CTN5aLyAC+q+sHPbCq5zURGNelf9UyO1bTa
d5D3zbpNSX4Q2ZEPSx+nt9noml9OTFZxZUbeuLPdAe7m4BDHqF0uNnH0kiRBcACqyXFnoGfkD6cp
VYoH3qSOs+X9TTn+39ndfXgnF/MkmPD16MEPXmBn8zIBS4kNthflWS7REyKeJxnjlko8f1rjXqJa
01vfdOL4MLqpfZkKzsatWuxTBy38S8sYyGIV/Ap64e8llMwVpyRnPWvAgGVgAxctolwdJm2JPW9d
rsbWMeXU9KpylFeW4ONXepSaB2Btey52I0Xi/NqnQKgnFlN0Xfuz4KDe+T0VroWp5EZbS3cgo288
6LsBmp/HS1JL/ji0zKHTgrJjq63BEChG+C3/8Xm97oX9CBvdPAPqoFmMKfUo/JhLcZYFTIZkdurL
6SYsEqBRS1nUG+GwWhGqIbLwJ9TOzyZfopXpjttWe8Fm6vOXKlcPM71RgkWA1ak9EiVZMvBLa3eg
TUq+rt9anHB4FjIadTZ9oHkmkwCvTkFl9wlTALqw1TwiQheSBzIVq/p1hvr5h34eU8uKLhYHi4Uf
r9sdcHTqEPAuFsx5yQj+8Vi89EkXPWG7X45zL30MLNAzMmx/biyvslPBFv7/l1SCokB89pl27xwX
N1I729eAc9EpTYZ1C9AhLdq3eVAfLl3EVd3Vybqh0GBk16jTSbiwYHluqZ2sLYLwN9tEqUigrIeU
JpM3l5DsPmtHjjRTV4V0d2h1Cy9sktrZeH5t7ArK2PFwndg1XWJMmCSRlvGrILoWUeCrOXb3LbMX
sk3AOWDSiwEiN23qwtwQDz7G2vHDSbQHir8VrFmidjufTCq3FU4LtMBmXickr8q1CYmKkaMkPdXQ
aFh5LOXfzCa5e9OG2j3AJSp/C2YNfH8Gqzrzm6pj6c+vvc+IKjesbcXz7RLMufLWBk3Ibzh2xYb3
4XhNx0Uf4rokTgl13/wA62FgxC7s88JH+Q3YnablKiL04KD/H3kuwLdC85z/Iq6lvxOv517H0CDQ
LIWyzF1OgGvTjOmtM7y5xHQetTHxNZ4zfgjsmMbkAbGpmmlepBwz89oOXoAbdge4xQuPK/Ltn6Pp
ua9DIpJyR1zWxfoA7pBJpuNUnAbJb8cuspy1neOOWy1xMZKd81OnJpLppa84a9oD6yiOcaT/0i03
amfvDUUKSbqqLf5dmKXrIBv1h/LKb7psxpqi3jfXcsxYTUqZxWys75wDHwu3hYHVylCMRLrB9E/a
6mGwU7er2nBAgHaZCVxxpDTdD2I2fJf4x2Z3MWzZ/bZzK/XWnRVV23rQLrlQu9ou2pEHP4rlhS3r
9ABFHVS1ZifcyrHf1mnuXgfp8ERLIJubm8bjpwdQ1EZBFQGsYLuxpo0S3Cdd+LQ7W8N3cwc6x+RH
Pejae3Nqb3JyWEPmEU1ssBEGZA+VX3pDTs9M1pJtUxWI1XVAv9loih5igbz3BBdFm8KTE8FBEbm/
K5pIwP5zszl2Rl68Wn1AeZap7N6bcvsxx6nVrb3IH1lFW/babiSnSmiRpg3T1GyndMtGcYcdr0R/
7n+ViRlv/SZST3zwG3TrwXBAl2E9mjr5CjomesS0cI4Po/50aiKfnRM3G9CqTwPxk9CqC8jA5oLJ
KbHmteyLJWzmjzoNs85sVrZVPbARBNo+NOKVsDrB1KzdBSlCg1IjPpliDG6DGkbCOYLafN4e7RI3
w4Q7Y88tMNl2thHdhho+ijfIX1PUJzO9diSeJtXei/IZfk2MwG5OFmVExErXeWHZtGzxZkbXsRzT
bY+C/DPqxQ9EEHedBZHzWLZt8VamvDvATpsrLwjS6zAG9k67Mi/WdNWp+rBFkcuammxAPD/S3Doy
pV6SwexvnsXCZwMANtZrkjjpiZoVR4LYd0QY27yTXbJd0WJPz9OciX3qDhQ2p4ALGo0yNogH9Kes
Tu9J7fub2uPisfHu4d2aQMCqFo35Br4H9s7QQS3vNebxxRChSke9qdz6hZsZp5TeaXc+VaSLGpXe
FjNMAHQIv9i/RScOIuqcc5rEmMiFZk4LeXKJJa4BQwLbZfd3ofvrvnvQK4vYHLcqtWeSwL0HW7hu
T/Ui0m02dOYtGS29Y8nAmLOvR1C5nFqaXV+O0XOiJ/nAuJL/FMVS0GtK58RqWjzxt+pwPnDm+iKi
wV2zXcMsXS2eRYyi9pdzuUze3xlFQr5j+8IdkK3bdCTKna4BhvHpYZb6Ei/O8GgP9ZMRL2HJNI+K
YC8PTu5BFDSlW53iMmYY15j0VEPWKsOWXGoGz7n624DWACEmWal4lT38yYkObHsjj/bw3/nzqq62
dsgIxYmWzz4v5v4r08R4NoFGG4DUtEzf+Pn+oguhdhNDBF5d7NUpcAqubVMUStV9mA402ATMeroa
BVjmlcOYjuEO+zszdBwbHcliD3IzZuDjV63Qp3khhOw35fDZz/b8pICG0/qFQ94nXAwg4py88l4J
qqlIZHQ8Rs7/uFTSW9/4DeNi1dmPePmIM1d0mbJgm458fiERvIrczf4sRpGSaG+9P2zggrM7iGM6
KBvkdRsBcfWh6+CKQ2SybiGTfhgsZB8r0UDpLUvBp0IYoZnB5h8DosCIn3VmITSSjII5M3wzA+Xm
YTX2YwwzA0/FBF3aJyDH4n86VEDYYKFMjnmKCwgZUE9ZMBlEiFFBf+L2aX8FCecNRAXaPDF95m2j
lUu4mWEl1wSkAwRUhcJ34UKSqobmncHQJ12c3+MU5LzGZftqW0l+SBtwEytep+mH4P5JWdtkrTOY
5kz5gnM6d42O2xSYLJjyrobVQZsVkGp59ediWUelLx/7osATUOcj6ORML2smff1WdHHlbCGHkckY
id7BUxp7Yz3n9vqfF5yMscR28dorGy/qkmkFP1XF3bT3DQscd2L48MAm61o5pj7DvaEkyPPoRsjD
WC9M+kMO7RN0k9gBANnHH0lf2q9YcvHXGKRW2PbQKjYMR++64T4fp3YpHpQ1Mncy28Jn4dV3FKWz
sEppj6+8mDdBikK2WGkMqCsxxmFvCOtsDjl0lNIi5FMu0qrDCktXKBtZouvq/iqRYkKqogYimiLO
0Gb5srFs8eIx21+npgh2kqfphv1ucTZy68nVJbV5AC207RbvYW6bivv+NP3GRNPQk/HHu90hov4H
+CF4gL5d3FjSBs8kMacnFtj32GVSnoxZslcrTX1UrYdgOI7zYW1DqXh2ZraMs91/dMyh7xyUdrnY
9wo5SZp2x6uUvAtq58fBKm5E8LLzxJlrr4Dqh87ov9FZTsIOETJHSX9Srw15nadRTy4U58FRb/CF
2REY/kK4KdX1uraXS8sHYl3S1bRXmL0OXZLtkmJMjm5Be7iIfB/WiPtQg8oOB7vwKQvP5YFZhl4v
iH/5RkzjUdQEZxbVMt9sPa9YR8BPPoi0kvogZfxuSPvmt9FrMNXjU9LGdMgjbnFZ28VhMWLnKiZ1
TdgTQlLo947v8f0JgvlEU5bJaz6VD+inW5pw2QFAwnhF1sHcgEvUOZiLGQUaIa9L7QUE9sF3+x3A
N3M+xTELI99wj2VTsLQx/XjYq2gyP5K2oU5AJXnnOk7xKgaPB1fPTvpQqvIoKjmcmAmQCXHcKUyF
1bzRF1gufhf1K67JDZg/FtWQ2iQZcfJKzbqRY74lnK/24OmIdQAtWcNGqbcj3R0UNPQezVUds5dN
HDO/8pjWKE2cbNrw5qi27CTN02DpnxpE1a7uYndPYYrRHun/+oHnlkv32Z6P5AnIgQfx9KL7eHqA
J0aVe/CXGxHLfLOkESOpQJS3hsPFbexnaxPD7PwEtoDWKRkmfcKL0q1p8fp/5WRHb7rLphVcCt71
voqajG8+LivWS8E7DZ+Z8mrF1CCpjDCDHYNMzE0OagRcXSSedRWpTB/ssmNQviQ4ZpF39E/MBpLv
fGSfjMALIanNIJK4g5CnWXYOLfdx4nm2dEwNJxebxBzAhoCLRG4rZZ/gOsF3EwXOkYNK/M2QkDOE
uo+i7EZdUy7hBReBwT1SHL2Pgt5NKihoZyuz/1wiab0x3Ug/yactj8w27E0cRMZmaQP1kxiOuM2T
ZHMQVfkLVLBkw1qA6/29kWwHtffsmgCHkqHBgu3L5IY4Co957QDd6xOV/a2ErZ9LXq8sZubosQka
F65EnRf7olcO7swoOg6FbW+bjncNl+fSfMrzefxkzCIvrKzyjV/5A4zR0eke2Rg4z8XABdyo5uwZ
gM5v1bUQnVren0MeHVHGIpy13fYxbibx5ZaasWLGd2ZVVtghHC81CAa1BRGbxTpAUQKmIg0c6Qvr
4pU1Dm1Ia6HeLi2DjFoFIEADS/y1lB+dSOjUJc0fZBKIG4bkSXI42LKMA5JX8T0c26bgY8tVn6sz
0wK2UdZtxPh2UwGWDWrQ9UsZpc+8XTnzuNylef3a+7ZAOuOOSXZCFzG9yhETDz5FFk9G3rOz5lgb
ckbO3gNVQ2VpjCj50BSF1b3nMjJ2YL69kKvhEZUa2dYzbefUWXL5KjFE7fyE7V3XF/Y64Mq5DhTS
KbY78zPTsH7vut493Xefvdfm0P0lXDOv/Sp2n5dGLAeNWmLNz61bcekKjnU2SmYabGL4qjar3ilG
xiedx1xhloaAEAOOb87YYBfTg077a7GInmRcr7cDwLAtaTLOnGgtdiWrm+dO4yqOdefuTQcR+7rz
xehyqUTwuxgSy3i7lK9Zwt8BUi8b6YmsDpUeo4dWDe0jDbYMXzP//+OFoOAq84CiMn384YFjXHQ0
d/1G5khlVggieAb9D7JiSikrn2n0ji5yI/9euasiKBVR/pn3c8wKhcjwq8zZf7ikr550GalfWdDp
B9dm6cKcljAsFNGcJ5Iq/50E+/87Lr/7qR6+ip/u3+6/8Td2iZbER/+//vP/RMH6rz83/Oq//tP/
4MCUAmqnsj/ffroh55fyG8U/1f3f/K/+w//281+hlZNb9/6vQXiIV8V/xJT/+y/4F6Vc/sMUtsUr
gWS3xD5Mpn786fr/+d/94B+k4vm9Jblcx/rnP/lX/h1KeSA9F2+t5BdDDiYa/68EvOX8Q8DRDtDy
eq4L8EL8v0TgpbiXKv5PBt536FsTzheMhQMPYc0/2zT/IXleJd5o0gW2cbosNDxp+ydiM4jIVjuz
ImjJ12jJn/wU5QsJLdsv18QSem6puAOKddJ7umNOaXotxKFeAP000d7bhTtgwzaQu5DdRnPpB63e
WEI4PzPd05F2oZceHTcfINwxy1jDtU0Psow3yi27JyctrWvAVIn+6yy5XBrlebKC9NDFETtpy3n2
nbpb8zc478xaYBQlRHYh57Pt6K4qBzQkyN4jjdC1Vw9DuLTjAuGPqYR1fyAtrV9tPQbIIDeGO7OW
cEXVBJcoNsQDqNIYmUICYChNT7OFIUYRbSIA2QXbyrX/8CB116PuvkmB+SRdUnDunbushimaD+SQ
+usSBOMxS83kT9BIGGOzgNMi+i9vMvy96ZntFlI3kseAP9NP5U+kPfHQN9OfZWAxbE4zxwNlPMjG
Y6ez/OYefjBiO+yL6H1q7BO347PDUbafh2PhiF2amGQkvcb4dip/3EaT/YcW6K5zCMpnct4POf0t
a7Rf4uDOg06hECEgA90QwyegSvueJ+606T3vQyrzrFrs3r4XQixvMfdNzSaI0TL7g6FPYqT6CMfr
WBTVTODR2ZEU59KR909ZW7OIXKY7J4jOwn6snd/zaJD3aKV5XWxpPc7DvblJf/JX0Vnkcyup42/r
btlJ2J4+ZQPcIRIJzneL6WGXD43/WBQxuNJJzn/boMdU4aR2w611Wk4kjMZzm2SPpqjTv047Eg+Y
a3uFIjNeFR0aSfrRWHKy4Z9GrptokO8RhFqLWPCGXIzWfuSwHvGo9Z+yygvCUS43P6mumWeC1xq9
p6VIx4Or8/SUNgBhycFH1hNJ6SZM3fk7d8Ei+0b+q8C0euk8iXUrX+ifUvS9ed5ASJ4kEn03n8Gd
JMel6pF9or3cjb7zqc+8R4Hz99bHXSfOnhepgOVLKRqQnkbKitbJimHbF5z910Y+oimhKYxIVGn+
Y8McJkS3UnLgzc6qo8g3zhIV7CdShbrSoNV7a32fxq+yC/SqOrUh6uRyMc31oJER8JqcaKB3nj/H
xGsSYECeqCIvjPJoZNmnBFd4/N8IZOhUswUznLTo94MI6n6dWFlHeSRz0vqdlF+bsmUrcZRDR/Hv
NzKz8teW9kteNwlXaIoFBBFOwGrycQuOCjQ0NKLWZ/2IWueQublR4UZLl4A/l03R1uySPEAxCCiG
A0pUIrGMAj/ezEHMdDDWEFp3iS1na1W5jDg2PcOnZBsVht/9qZBwFQRlfKoDooIZQIIjcH/B0Znf
y5FvTNAr5vdx68+hgrHarKibJNWecBWIKktDX1hztER2j+CGpg/HKf6yvMwgzOFsAC7Er7Cp+Ib0
rNytlNVepsDzdhQZfsboTtfE74XYCn+IyJ4w/xZquwxO6W+KnqDpQ4L0Zz4xE0p2d/51vwGxzxba
lP5ih3PMDXhXDIknDkQOe2QmoJ/SbeBlxFqsAgcw+j7BkQgPKRm0IbkF5QI7FJEdFMka7rcgaPVe
1gmQ7jmaWnfVsIbNq+UoDcv6lck0uZQ0Y77GsqJtmidTcxmqjjx94i/qUEyct3ymsm7S0UWV3Yvq
vZeknz4w7E5hVzbzp+/CziPNll9tJXjspTGNkbLsn+FbVFutO/8zthrOlnbvLL+EufwZ5UCw0RzK
t8ho7zQNOCRKM0/X/Uny+4Ibps7t2jxCR11g/dWZvQuMiL9RUnT3MCCA41XOQPhxbpEtGckEli0e
694KK489CIbeMh9PPLXfdO9MyHySpn9WhZfbN+jZmNNytBkhg0TJkbLEWTyzT5huLhTOZZ871Di0
SV3jOfdE8oeFv3BXY0pHNPRbJ31pgSDpX1wI+hbOA1PZO0sFenMTY7gH97HnWvN7YtTqrzipIeTy
2eeRV66XrYg6gm5Tp5+o+KePjsF2U9vTdPHt4TpnMOqjRKqrz42JSynnRGMxPWZr+fTZsTa81oYZ
gKuks/XSLTmixagt8idsb9Xv0nbdPTTg8RDpwjPIpPrFl4xScTUYfrFJ6IPHqUeBRgBR+Qgj/QGw
GNFpKisuzZzWHqJsHfW2/9fPl+Zcz8P4N+JMCWsswIT4Qiydw6xnkKi3bJkkG4++dP439SVhY2Uk
5kOm6Y1WlZDvxWioHQQwy9sGdDHzsyAdz1NhTjZ3AupLBYgnXnfZWP5Ynl/91SSyP8bGIvYKKDEA
hgLjYMVoh8t4OnENNSpWnzikjeJCXMB5IRHYFOeynvyMTE/lgI9PDa02gZn4H6CtAW+pLph2qo4q
6yix5/2pjFZfwbP4L2ZV5ucyZebHZDbyXvNWuL+WgTcI3k8ekl4xxx9SG+za0YJTIJpz0hl0zkLf
8uQ+Yii+EbEriBRa/UEjL9DEE5lkuMNoGjwjqjbb+ozTEdrhLqIkFSzd65QI44E5CFNPHNfMmSR4
BMJbBjH7+2qoHHlKNvm8ak2KdewP5nyT5H117PppAPpq2517bZXOP4ou5kOH382+Byl1ZIcsSgn5
B6Bu2VVGQx+RQwVEwA3E5P0HO0mWVya5xvzoSpYSV8OcGaIDQ+MOYzAQ98EegUwIa65QcTiOeZyt
CiMbKbP73NJ3MeLn+JyWsATWGgH9VZBBiY94h13zPCq1sEEPiAMwmqhuwEyhGi3KmIdb1OC3fINx
uZ4Ir5P1+N/snUeT3Mi5tf/KDe0xkciEXWhT3rb3G0STzYZJeA/8+u8pzkgacjTSVcS3uRHaTIhB
NaurCkC+5pznJMxdfSwTueaW99mdI8LGC6PxfZINUPkPwZiRSUflwtSE5AaYeFW8M6xZ7XzbG+Er
xHLHeZZdq5lum9Gdt8VExkpwYsS8MpJmPjWBBX0pZ0tyjJFKV8sSLQNguKavv46eU+XoLwrKByWu
iKpm91oHd4Ibflk3cbBuHYakTXqBeptddcySOHxMGlB3GiISG+jSCR8AnGPiorrJ+YYLRDYTNKAT
EwpPb8lsSPwdK0ePr7VsbbKqkci0NxKl+rWH+ByZaaQeraEdqy2gpSHAZqh5LGet48C5S8g9IBtd
PU5mD5momCY4sv7UdfejSoZyb2LEPkRyDj845nhYBvXASK8fIhXu0lhAoaL/eC/NzD9ODJhuZqu4
qVxz3DbIQxapD221zmf7hJDdW+WdfaxmMItkoD2A4IR4EOfBcUBh/c6BkdyHriR3G/jJttKVCSVV
GRptSh1g+Lfc6iMMc0owyGhAo4AJgvLkgCrHyGVNHNeJuRaNsjaVci8zIPR69ZYddRic7Qi7XlMM
zIiHEXeFRo+6rNqp+Fo209e2Mpi5tWYMB6sQ0ia9U6VI+BlOEbr4u+bs5tfe5n/yLrsp4rxt/vqX
H23mf+x4frLGw/7JRYFzY29B72khwzT1IU+N5OE/fxnPunjZpeO6yJh/xBD0c5YXQWAMe3es2T9j
gCDyeqos99+8nR9JG5e3c/l+TYgNgo6QP/74OqZvyBa5Qrefu7x7Ty4nPMFvdATh5AGrHA0df0t7
ZiXs0DLp/ZtXl5dP68f+EY82mA/L91y625/fZjyE2sBZ1e6tOi436Dbae+llzgZP7cxF2qS3XoXE
SGMufNVTwZiDaqIX/sNMdWF9LzOgqKSXwiN3qPvn8WZ0i2LvqIqxihAhADwCqpkKG0QpXTd1zaOq
gFTFWAvW48L2f7X7/zoc+CeXxx/fEJ2wgD7AB+tJfOE/fp4zalRYiF25n+OmQROhY1QrAFgGscZn
TLgrj3FP/Zv4rj++qBKOsMj8oDJ1XPHTNVnjPbR6JjS8aDiflKuopVtmh2QPuFP1/q+vzB8BGZcr
hhcDCsEb5F8is+rHdxj6SubAFdv9QCj92q7lByCSTSbG9t+8qz/eaQjOKUMIU2PIoezL3/9utoDX
yiwBBOX7GBlae22ZZcDBmZt29+9wF//k8wP4QRdJmSgRHv/0pYWakDEbzPq+tRg2Rx0lRdCNUXhi
+qEIJZFKNluAgfR5ZTQ013rolHWDOW/JQRR9kFdD9VeaiAzQxQREiH+vD+vvteK//vD/8JkQ0sal
RZ6WycdiX0Lrfv+ZhIYVtnXhxXsdRcLdl17X3ozFSLP0H78Oyc62bRPdxcv4P332pEU2VRh20T4P
aAZWNVvneBWCEfw1W+3/97jvzAataIrP9scB3/eh3T+mf/+HhoKE+3Hf/DkdYxFH7/Xvh4K//sBv
UAzvFyW4MQS6ex7dnsW389tQUP3Cg9yVDpgLWwGw4Ur/x1CQCDs035dhnSMd/x9YDIaC/ARkUiXY
9rjc2//JUNBzfsZRSOFB9GQcZ18OFGH/9ISoeidtsK6rbRmY1gPJ9/MKzlR+GNFprnraY6IZstdI
ZyMqPM97jRm1nVAadzQb/MfagoZ3zhFJ9c9JFBHC1c/O2SSpLtiPcxvhMZDEIgKNdJxnORM0Tc5Z
6pwCjSVjoVt0xNqfHJCb/fxMzmPxCXezfSbHmuLcUjxKHNcYb1jqpQu/EcbSqgq9Qd4vD2Pdy7uu
Gaqj1eTFgdEbJwd68X1IEOq4MiXh7NjVpHUs2yY5JqmvyDLyrPyBkdgs9jxIjKNIeKGlbSU9Sg2H
4V9kZ8Ej1XMFM9Swj45f9G+EZqNxSQxP04q7U/wEjkk8BiDm0QCqkH9bFUj9MS/i7KDylx/+5fbD
Pp0Vh7oZww3QDw0oPKmJv2m6+CSyxLVQkfmsXuGMgoV3VH1rlAW0JKqs6dbnKbeh2cvPuWfRg5Cl
QF6GJDeH3R/jwE+EdsZdAFSDnh8uLUWhDZ01MtAw4HqbqqsIBC1iCuFl5SYgoxIGdIQDrJmnCfy9
jaNiQufPzIQ+DJeaQh3mFidKJHufmCYKFJiUapOhPdnJzka7OarPqL3Y4J0IjTTQA6veJYam2yl8
0UEtaAXfbtSBR1/MHlqShm0ayp/cXU+tuOTKm+zeCuFueqXqj6lNmSaRStJtO1q+ryXgsFez7Z0D
k5HwyFiiuMW9Jh8H3FdnDYgVytwkXGNjlyIx1iPmARwPFoKEpZs49oG1+0S88+izEiQIE+AJHbhd
WNmBcbB7svJkONhty4jSLhk1JsT2mg4uaGSv6UOW24w1hBUNu0Kiro9nA1unR61HoI2NlElgbr4u
cUzHJKd77dmuPXWyK1wYwjTkBFIASxs59DKDm8lH6tUOGjXT8Flnhh3dlvb78RTAnsnEHLzBwdQH
Q1vWq8s2/Ujrne5CWUs+psL0r1h9FmJhu+BzF2XP7AzM4YW0qn26cQSEGFgYOFxorF4zq33DvInl
ptNIgrX7+g6C4rzxpmQththY2WX1VuLEhzNTkD7R9sZTdQkaqP3iIMbO2LhdAOFwsq5bjdaWTcYm
81FxBrX1HBCWm3Wy2RCjeIFtuhE5EN6Avqj6ik28IjWgvq/g0/ox+TKB0uvUJ6ekZGbfztZwnTFw
ce2SWJpLIqGSDjJtp8sAAeMZY6x/YeIOUup8VWGExKs8Tmh9mnkLMc9tGY6zA66dajkIRWVtZRHO
zbnNTujgnDW3Yf/IjCs/GyKi9cHyu02ttutuW4cyaxF+h/zOwoiGRWiM3luHYwpBkNcayEnbMPqK
9hYaJk8TXMKFmFv/cKGHRVvV8eGgtiaPmz3HwC/JD9liUXynD49q6Az8uW0NU9Bz9Qcz127Tgdnf
eGBvuCzacWtmtrUVvSWYklfm3qwR2vcDhuYshCyxgG0cPLp8tMsOr+liKG3mCpjTAOKjQIsXIkV3
mCdtt5nowQERx+LeS+r5zTMrPFLkCvTHjMiavXIDfRNIL9iIpIg/S/w9LeJiGxHj3IppM7B1X0Pk
Aeo4S5cbXvXda4mgcldpZ8B6ShrVbgpi+rBChxh+G1eemeQ7C6X9eIeNsn4hlQnccz1hcwmGcJOx
+linVt7fE/5Xvxhpp9nA0PGsZIIKuunotfj8m5sEtj8xTezWv4RoeFnE+7s5tI/st6dTS2DVSy3D
BgXHuOtmbdzTi2pIPJ6+m+IKnkYj5muCX7Ktl+fqpspPZdzuGYtMQI7AHQFf6h/ZVPWbBoqGXCaj
W+2RbxtXoiFL/qi4mq6Hsk5PdOlJv9Sdbx6sIX0NfL99dQ2tn6q4K858zPo207P11uJb0jjsxIi1
BW/QdRhhvIn6iUGiDOcGRyHwhAHP+bLBCYcddM7n1RB0ZNz53TGdZovUqt6uYJ3Ox9ogIY+dN1/d
POh0k87ZfB/MrayXmM71swf0Yz2VY3sN8IwlVkoqKSuWuVw2TpJ8VDrq9lhR+ZIyw45Jywm5yi6v
Tf65umnJ4dwAB5p20iydr+Dap60ThDz6EGZPS8LIc1LhzJHYLAvxw8lF7XUx48CbHTjuy7ramNCQ
Ngjeh7vIbwh2Izim2Hqep/f+PIXbwIrKZUyY4LORd/MjcAF5mhX2noWJNf5QWkiqlnmkzH0o1Acm
d70S5qC/2LCyNTz9pHwcsTkA6qX0IJGrqt3TWHrJWXrNxFyKZysm0HfV4PPE/E6cnFWH1woNDIYL
WI0olQZfvw08T0F7R0IZ6ynMi1v25sTxDFU8PxSklKLZK7LuIKABA2PR/eOYmB91B1xgGweNgW4M
obDrN+E3t2vDTe6gQ1tMEnXj1FgYnKyBiD0iWOUTMq3hATnC8B6MbsxDV5LatvC0YDHhJnb56E5J
+i1VzJNISGLjFcWsDLLWfI0SKZ1dnSAWbBlIsaEnwi4E3uMV2CFmZHkvfhB+ubhNubW8Y4Wrdp1J
7Ie9Ee7yyrwXM9/zlBTDgbzKK+b81UIkOIG9bpgRLJWTvNc1N8muA2R/JDbGue+Rcy2MppOEZvkt
PK+EogOtYPOlTOD5TyjLoJ7Ue3kJOKngd8kFW4ZklcZJusptOdyGAdd0NwmOVjCym5Iz5ZFVSroh
26xYerlZ3xAqMD7qcjagwvv2Qqc56Q5NivugsI0HrLLr0SLrqBbSux0aO7uqcXIyD4qTZ3Oa5L6v
s25d93n5kdeJxpnV5Cx/+nw3urn/4qhsug5Mp/joG0lUW4MqfzE4znTPOL7aQWyjMJHNzgpFdIoK
CJS6j6o3P2/m44iE69NFKLwsA/ua7Kj4mMHnOBATZH6ZcoaGKP09GSzHnmytxUSW6jHNaL+pJPX4
GQRiOM1Ig2OS+gznCgcbDxLkWF+yvpYYWhsPXq7RbodsiG+ciTrKDAN/47Ym/qPELc/sqthjxjmr
xsBiSdCMH5kzQy4rq6vOUy0O0bJZTSZhTl5L/BcGen3CkEWYQTecKDrjVeLnFtBXidu55LFeCMPC
fKIx0sdEn0VfGLF/lKZ/jW+02WRFy97eCmP3rihLzJ1VKcxNVBlHnolZh1MPBElW8VxdFNNIOrAY
OrCYBMLNR9dphw0YL+POE5MSr0M5e+6hDxrIUk7p890XqfVJkVUQg4M39YlDqtqOAzpy1wauf5iz
itqv9rT/gcPJNBEccRo1Vo/BMLXdlTV381k0xlmbiX1HMTkdEh89mhINXr069qnmLp5Pj6krS/jQ
bILFgO/lIdVmuMsaRDP5ZQ44tMlR2aVzxROhXdtVmJ2cUPb1IgOI9YLBWJ1kZoByo86cr+rWQxhY
isp9Tams74ta1ifuV+YOpgHet66m/laD4B3wjWHisQwTUVXp5LNcB1S4bLuxiWKAydP7GUQa9m6A
Ua8YUbKTajQGJHzf9pUigIfwCSIqWZUmGaGyoVMQedLazhL8d+AsGpsU66Wu6nBeh7NgK62DMnom
45RNRFmCxo+EZYBZpsQAarYnpiO7Yr/pXGD/2Vn2jntLaK2lKMAIC1smuAk/vCk2v4Rl5wFJ0e4r
ZpRuz64XnTVWCWzyWRjpCIEvAxAIFqTUM/Qd2bkVSOphQA3eQzPVEWkFbGXXI1O9hduS3GdVNqGz
+NFxoqCuNRAKEvYS1FueWu+ooFoAfx1Ja54VbVMP7ccYE9Ekwxu2uJ8Vo5NdkBfGfiSqdakRsooy
ulCKrlCV+IveKbNVypL0Xgy1gWqa4NHATsnuEIFappbekhC7p05gwm9183IoNnlBbchvAgEk/xTs
lFZxaOykMwI31BTctMiEQAJBXPlF9OzXYM/RTz20EVYdQhsfSdF0F7SD+MeS9pruPIdY4p0ZBJF4
i/tfxRhHaUa+sA85aTtZ5TGhRbMfczaI8K0tAGNjF1swHpartnOd1TyQL6WLqN27pGWus8Hs8aIH
M8jbTIE0wi1Pjh6/Zw9eyvGRJAxpvclSuRLp+M4mDh9ztGvRc6zQAFzPSE9vBpUVZLyJGSjfTNSL
CnzEvL6Jk36q2Yj6Uh2SvAnvgpJVgxWgBg2rvltXouvQxscXuVwJVHCG+UZRakzENhHCwqLQNoMl
oN1JIRrtSDN207Y+OVjOYjArfL4eAZ5bPRpsbpTV7yzDDZ46U3YvDXEvyTKKUhqWhGTa49hMbrma
ScG5TUWSRWsnLP2n1MrGd2wLwbFx5sEm/ZSsgkHbLyxmoXW1hu2DbZtpcIBNmPGdU4Yjxi6l5l05
inHBwSGeyapI71sSHJAE1ZaD8kKnzYEAj5Ya1GtqHnl9+WxZ7b1i9bkVrffQtto+8oBhYRWX3m5M
q3ewfgqRxUUKQLg01j0fHoPov8mpi0gWDIR3FXYK7c0ckA4YiZIgKs9zLpLAKlmA8+/fuLPiJasr
BAHkXWzJ6HS248RRbbOt28vID3Gcy3HXekwJFl5k+mtCY8qjGfLM5ykkhqfQ1ulrkZLUFzttl5M3
0LiPHoXLJQQ2S0d4TVAEvs+U/jt9e5jKb3/9y/tHFueruGnr+Gv7+2GaqWyPydifj9927/X0njMY
/1Xht//4619++5lfJ3Cu+wtQ2kuCu20CnP/dBM61fgHB6ggUBx6zNusyi/9tAqfELx6jN5J0uQIZ
bf8OTItiz1GMdX1TMn27/M3f9Ii/rRyQMv7pCsJ2EQX+bquCEA+NH1Ztm1cR/wSFrE2JyEZjMkx6
w7tmXTFAbpjzbAOPLXkJub5eCdxI90TEciP4VUDRPFoKyFvV7xiB+SjRalgOFv8GxJjEfyqoPV7k
kLtX8yysx9gOmvOAg2U/ZSr5UsSGwvAXjvuc/+6czEYN66E9mJaV2VofepwhPDRV1145WPkf0J9x
p8SoZTAwlbSGnpM+SNKhVp4v5OFS/t80lSKekDHLqo2cDCMnSCOnDJInVELNoWbl+cQZkZzZf25i
hkGwRPweJFvFrdWjqkuSlqQeF02srclDUgktBaFQwdIO7QoetFOE+OpUvo0b+DfWqNOVIkVzrbwx
u4/b2l302G+uOjYuK2S7Ky+yy8UUO+JEfV+eFVSOw5gKa0PwR39lyd7a9K7W930r2nPRcmQnrpND
j7Iadp2NCW6v6u/SnOc/XBdE2CkrTt3ZV0FXp6j1RlamY+e/mrWl2BLnPee6RBouK32dpqre2ZfK
oa3LaZF27fzuZxaxAHGC4Zt900pGWOLb2U3JuW2Zb1hCEuRVfrJRK0kFbTENs1PXw6tox/Cp7cPh
ZYqC5sEPuuCbOVszeV4eNAYwviZr6klgON2jK8maTawi8Zr5l/xYi0KLEdbsjm/JVA0gqAIrvsm9
PjjFXjYefcQ167rE9ULtNnvxqiBnfoXsZrKIoFOE6RHRUhWLspvBnPVd9mlOI46F3sTkIApoK3VT
5CeVWeT1jnZ1nxJzubKqTCybGLfbiN54jhA54LxVZxKGMYEYefs8Jg5yNM/vnt0+iZ8oecNVUxl3
0knKY9IP8hM4hr3I0JzDA+8qnPdJOI23UiYfUeS9oQAPzmV9yZoH23OUqbJX3QA5YUH8p2ledC6c
l65b2mdyJpK7qPBMkA/NdMAW415nJZBhQ6PZyM1LbmfYnwgfzt/rpkPFLq1hF8YetKep1HvoZWsZ
jsGuQGhDpirixtvB94prQrYmQl6d8YAyyH6NVO3AaZ1748WN7fgpLFO9z/UwvGVsh96HAAlARIe1
Ii/JOw6qalaxP6y0Y9/Go1ndqX7Mln6X9u9oX6onewTdUBedei37MmTb2yvC1FTgmmg6EctYJENE
K/6v5VXY2L5Df2+FRxVBZMKtVV7bY0wT4pXlcwBbG3dBRsSirFDZLUVWEvIWpHBBxZQwhsAtAdzJ
DNFUZugkFWSvFpUcv69Au4nG0RyenCx2D/TTEykqRnEO3JYhcJvI6xhf8rnMO3PdRiimmt6tkUTR
KZM+WpbOWUchVrQgpYlA+2Z+88ir+NY5dnWWyOBrQMHVbAJxwvBJ0BV2WUwmDCZxlQyPcU1a3dZ0
PJEuKee1u/In019lEMxAwKoEcYO61FcdqNmzhNi3Lki83JCpzHOQHYKwVyViPG+ZJ1G5bpXbx3jZ
DO+qZYKGO9F31atrSdIYgtEh7lLbF/nONIcGqTwpwz0Mbw7IpRqt/gmXOFgkK4ImScOI297o84+G
cc1I9R3KN6u2CR/NyT59HQtPWQseiNhN3DxxmcensnNfp9xqiaQ1lPdoInu4QnIxvFRCzvmBAAvl
LFC+TXtjEHa+bTNPmUsafeNLWIyyYNVSui8duwlv7adefSMuPYEi2YuH9hBMPBgZr6EeBbSwwWA0
dYQPiUv5LH3j1YnGlNx3MhnAtJgNkjTU65nYYXQu66UC5nI1pAkR9ePYqnEdShOvWmMMSb2dmMWx
sZF2cR87PRXVQMAN2EHyub+IevYTsDiOE2EYtmV7X0bCOLr1nG26rGxrSNgRY+mkwrshQsgJOON1
90qgqGMvUdxi9xm6wQI900wRwznDwXfV2AGYiJTYn5B9c09Pq80DUxdnb5otE/AGm9wngVD5M6b1
ZlswSSJ2x6JFXeixSu9i7QbPHWy1c+pbn9Vk1O927N9ZIEeKxYwVkU4hLZxNJzL/0Nnd+DZ5Pdsd
q+udNwvakgdWVE974YQwtGKXRPLQ7N27QHuzdxOSBMzsyMpMMv3cetj4CRlZ69qN2q1O/dZaODT5
A21Oljyy1RiPAOnCJ4HMvWKyZzUrqlUxMOGoh2+kmYBS8okgWiLlADULY/Vs6J5kJHbb6K8JnrL3
hoFUkdm2472UTIUeYFHo45C5EvoHgM1xWUQWEm3GyT3RP6H52NF6nHVmo7XQhkjidY7y8gXADb+z
ixjggDflkhqMjywm181vDkWaVs9MrjNrH2NTLZeBi11vqXyVAqJC5XPSOV+coVI8xmSS8gvafZh+
VAaJDAuAd/MV+FrumDYw02eCU7sjz1DzXZjt9MyuDpBjTlwp4OY54dmbK2s58E8zoC/G7tXn52+b
nnZoEWl/AHRtG69VygklJ9ZsGZlb30y8jdsgzv2ncB6NR1H66a2l0NqBxcDxGrUqO6s0hzBPlt/w
jYduew0pia6NEUT71PfW1K7mWBVvhi7KPQYpBrqVKtW9HQNGBCyljS85GiX4JY6ooZX5oF6JbPYo
FVhopO/E1M3l1uj7pF6jdPZBY8RFXW2Rq4mXNqsZPRCE9c2NLC97NmFsWYBABvcuAawebtyBgUXd
J4ADWl3oGz8y0RO3ONlA0of2cAzwOy2Ae0a3QxsxrMBjipAWARuG3/QL3xXdzjx65dPQtJwCfcv5
bpnzna4jojA1rFOCzCvzsiIqmZAa7iWrTlaGeCqTCxIHYbJ76qMZBu0YuG5IZnntd/CYJJMB3RGe
swoiu72+oCK5PF3ZxEupo+AlcEb4bP7YQ5Ml5Pka0X351DWjc9sOsY86PeZ7T2qsHAi45vM8EryD
B9Nq7joTcNTgBT7vWQiJ480EdDOEcbaPL1RL+MREk1mccFwZ9uQi/evMjVmYHRTeXsfrZBZQUBBt
wIxL6uTaodtFUO7l8h0ESvFkVD7YCpMtwZVTj3wifqorZCAjn1BplfHOHEPvXcep+kpOA79WiM37
CdjfwOdLcu3KtdzwK90hgI2085+gYKE2nyuDh18rr/SsknM62eQiGnY6b5MhsXectKWmZzRZ4WQJ
O6ptgRj1FIASPo5WSxQXS5Y2WcVx1LwNSE1QM6NW/ExLP/sW4Bc82IERfmEHME3LsJn9E3Poq4io
6P00Q4pc/Ldp/N/4uFyuHUeij/vztnFb/NAy/v0nfmsakVlcJG4m6UKchv4/vFyu+sWxFQwXU1KX
0xoi6/mtaTTtXwh+degMXYRligHH371cpvWLRwYQD3dlmfxznvefdI0/aqBYbV4sqg40fso3F9Ow
+aOySLpsfu10GNZIDYvFiP9yAzlULk2T682AUPir8ufPu9SfetRfX48XRCSCnunyYfxeyZSGjEJp
Bof1bKGTm63ws58B3+H6GX+9YP/0laT6Q1KLLWxPuJjUkJG5tvhJNUV1KBUNG0p/U2jOYhukFkW2
uWfDUp51EPbnjjtzm8o2X4VV7X/gfuxvmpw06cy3sHMgMCUeZBrgY+muIXpJ+2H9bIEdGtB/YNN0
nNA8dEI2+JZmO1g2MJ2dRTJ6NKDZnI7uYlAFGOBOwfzS5kPm1YiplUu7dQRCIogmkQ0a93gOVi1C
jm+tExW0NGBJll5DHn2Hte4bkluGnjkCvyJI5xu/kgz424q9GlM99lnsfW8TZzaOlfBFv6ssqG0L
HRExv+jcIHj28Ncx+4xoWgB5py7HpTe5pCiGhrstZ4WKPkNxArLMH8Jx0Vg1hSJlbv2ZkaFxcBtn
74ZcD2aP881woVpPzsOFilRCVVfkWIbGfIylnd+MY0ouBQ4VKxBkMMfli5GBI/aEvE2sOd/mtnua
xg7cgS8jwIR1RW1g1KcLdnnJdLKHxEabkZp+Gq0Mh/TuGL3G2iQF+cCk/iX2O/bKo6VXE2AjSiTD
w3TsXrV5kmzIQ2UCCUpQsapc24a/7oN8Ar8mbyFeIB8y7qaqX9mme2Euj9HWQxq7wtW/l4yil7pU
vHyNt1iY4WeexP7C7hL+R0T5LYZi16QsTPsU0XIRNUwZLF5cOplY9Z64hWuBU5ilAWkQ4TsRnOcs
x1QrnfDLgJ9jYQLEJ1XG2KIJvS10vfIun6hWF9GhFd1jtwiXYpQfdhecTO3uqyJJl6mZ4VUcUTMM
YbmUjbpFF0GdlpkfiZNtlBbVMuvarRLJp5COXuugfrH5AzGEV0oln+zdT1kbkmOgzaXuiVVh53UP
G3VLkAIUz/4YBXrbKozhsNnXJfr4pTd6QKWqoKrCU6KsQawS/MbXVWtfxaBP8j6Bic5CfKGG9Cj8
8ZvTETqpx9rZ6Iwvrx69ceGT+7PoW3CuHRH2qHhyXALUZ9jxvCs5RSE8VBj7QfM8htKBdztQbyhU
UU4ArkuFJ0KJBWwROOB0zMFSuoDxNXpy2Fvs0ogtcmr5ooXPG8BCIwJeLh3iL2DjWWESiZE6yl22
pN6RHA9qSPDSQFuBGRdtv6rZsVy6uVucDP4yKIZpYaQpERcZNyq7mfmhNZp+ETTuwyB4p7mbnXpi
IBaWKNm8FsX6v4fr/+ZwZVB6eWr/+dG6i7P3r9F7+k8Dw3794d9OWf8XITxkjGzpLU9wdP5NHOna
DG2Z1f79wORv/jaaVb9I2+bUcx0XYQ5D2r+fskxtFfpjxJHUgu73v/ppFvuvZrNYm34691BnmpzZ
toUMU3He/+GcRYuB2IOsHryJq9htpgpiCQ61EoXdV8o9egER+U9DZXtbxxhggFpBu3KHJNjDepUf
9Mj5jo4O9xpSxi4jb96CIvEGIxtg5eyUaBdaXX2tEMixla6aZTpM4RUk0/HOu8QnF13+3XrW1h9+
HkzbMWrcO9b58bBmuWF9DcCRWovccqINhsbN5HdngNTpkWPcZCrmtPtqDmHOEgIxERS6iUufhB82
66Ufdi8OKKIPbTjcP1E0BduaM2+jchOLVZqk40cYW8Eb2T3dYSYHfmU7Y7udyTHYoSXFFSxFvm3G
qluFMoXrF3vX6BGH9QSFe1dExLZWU8dco7KYNSCNuxnIlV/7CW6pRYapEyhgnsyLOYjLxx4k/LeY
EMxzKwx1qLzuYW6Ej2S08W6UW1nmQtoYx6VTBDRKMTwrkMB17a6DqKFrm7Kk33rTNC7Z5ukXoirF
gelwe8i1/EoYLJE8Oo5PcQTxOHa95j4FDgZlpgFFyJrHXoTajUkPIWWL3Gn0GXFjnUJQMF/KkQ5l
MTa28dlPTnvOmBe8FLR9Z75w3qeNWzmooMvZwroamLVDvfEQ7KGiYL4rvE/OPaI9nAhMacqa/lDp
i02HpgRdAWkNc0qEWayQKXDBW3xQRn5vZZKDERIbO9hOvPQhz8HKSSt8Un2xKllZX2bazQ7HVLUa
lM9bDyUBDmFrL/re7ksC01RCMG3w5DG/WtkQimDlkFneN7SI7Ryp15EB566THtFXlptdcrLAMtZe
NBDewkqulgPR8kEDzMuVK8nAYp3Z0TeUOwFjkby0r0yzT/ZYt2GABuJUtiI7DcXsf6D2Cx9Hgq07
yqjsaRplevCiwHkYSDKisx79inGy0S2HkgKD1YHI2VsaMMMLC6KoVXflRwM5xb8k/5hdWG44qeTV
rEhLSAZnRNmadoggJVdtTNTxY0oxWa1GrDAbI+Mz8xNTrIw6795mOyqOhueVdwyk3CMgI28zDaJe
qBF5lXUpKFg8lpPrPuly5GDPmDjVBurTekpWg62jLRzN/NEk+u4q4t21Sxth11oE8M8WVZSEV4DJ
whs1mxarD+pW7rKZSXE+kP/dqIGtcSCmZQdqjGRyO//qoc7x2Vsa1c6wa2sDl8yDyqoJrC6+NuZ4
AOmeLA0xrKRojU1dDOeshzXuISyAh+I8oPZYhWYu9yUKIJzCkWOsfves/ieuGHV5qv3D5+NaPPUA
DPGcNsFS8BD+qdonU8iFAcPjgEkd9V5vF+xBS3KoIi7HvDwxP5PLIQOn0OQvKRTGaF1UdX1lwdCD
GBcQG9bOPQ7TLOpWeZSnR7+/5PBgW9Qn/Jv5S1GxLW/cIVZsiSMrW7dtTagB4xd953+/n/X3e1uB
lrT2OfeFs0f8rQ6DPUFwGHpl5WtAmfrtX79196LG/+G9468ipfx762FhnPm5s5qMli2dDsXWtEN0
LRmGUa3uDW98w29JPVjobmm7YXVy647MNmgaGN2hwnA11CVsWyO0a3NtzxFAo2kOcKlKe1jVSdp/
YwwTPkTZOO3dathZjFUqNVfjUnb1m9e0mwJe1RYmxkGm0ltqHX+tqrFYcm1lNyPY9z3byGqFYRVn
u0merYTdAyhH9/ApaxIM875WzlJo0ULp1nIZDMTy9A5kd9sfs5vOHfw3TIz529SLfkPWe/5FQjS4
skPU4mkIdz4aqFyLdnBfMNQGeydTwc2Uxf0df3Q39dzFL4mpCDzqh3mFhNJbz5ljb4eunLeFM/w/
9s5kt3IkzdKvUqteNQNG44za3XmSa5Zc2hCanPNMo5F8+v7o4VUdEcjMqlxUoQvoVQYSruHeK5r9
wznfQZgDhvMYxehrV5p8vV3Uy+h+wnA3rPSMTptfW7Pdy+JdZgfmHncj1SfR9Nvcoh3iDkJH2XZh
+9RLUhYjaE1PzM+CTcP88IcrgmiT9Fl2BuHVrcbaSc9MRCN3rTrpPBm9I6+D2TfurU5LqHpBxN3i
i+qLeKvxyUUT/eR4VXlDTGF74wOCPYm5MA+WaceXsBHtgbXgsQCw2w+xv/Gqtgeu1o09IE6T7ZPW
+nbURfYNxCzmhzg3E1iIrDzzSRFKMDXtvZKYWpnoM0UinPLdRuLxUIV2RbGaP8Z9Sj5ZPztwYvtu
Ll4LUeurGYvDZW57olPibjyX2HkvBRBrhMR5cvGciTFw6/nWrjXTiUyHwqfjaof64tU6vGZIX9+6
bIxRapnRdHAKtDMOas9t28J2IA45u1E6rq5cvBibGIDSoqKqTwAeoVAvp0jehJQr3hEnPHaE8nqS
WOOZ2DU6L2BjTFdj5xp7sKN4bLkm1hNHVbecWZHL6RUu55gVmTHcJMP44S8n3LCcdXmLuVO3cmUj
J8Kumzv7+efBqH4ekpwUNpB/Ts52OUP9NuacyRM5cxDEoofLxXmLJrl8HJczuJX2eCp1xZlbS3Cr
ZTiQU6InTnQSW+8Gr6nOszDVq8PmaFNBAGDy3UrMC8vFkC53BEBLiCG5iaw9W+6QBh+ZcfDYviSA
tZYrSAQ17X9gTD2LObPxHiZROdddndvhBihw8MlCioxAvzIzZ98Jvz0ZQ41cf7knFdDuDeJLbtCy
jvx3XacOVwV/00wQZFKfoYcNnKHEehyqENN1CPM72bQ/r3RwM3yw0MhjNJnJsDMR2gEU7viIvJ9V
w7QUEAaVxLyUFIyZKC6QbpNNoDxnEy91h6B8DIO4WZOaiLg1zH1/C8p/PBe5SUJQYIzH0MEuAaWu
QPpbx3S/RXpMlZL9Svkx8aBDYK/LsVJ0gXmWXTmyS49WXwHbiQr5HFeETQK/8e/KyQyLVdvF3Y49
dvDVzLW8GVmYfQy5Gm6SbkoeDXSb9yGbmm4TCeUdkdobZAuQeoAey06Y5Aaa9pj4j2+uYalDS5bL
FTUdOlKNx3ZBGkjnpgCdcarDuvjWqyFIVrX22ndkXt+FW5OjigKKrRHMY4IufHPvM6J+8CJeOJpP
eWyNGqZljOsAGA5LIsDbWKGtzDZunLmyjp47wmVLK/cGN7ezTjyuLoa61UMNKSxBiEnooWUk5PEU
hD8BzRh8Qs7MmqD4YEy7K7cGYeQOOiATJxHvYzCrD6sqa95jBPUoeXnQdprxklgxbkI5GSEkfJ5Y
D+/hd/AU44NNTkgvWea0vnEKmkEfmNyNp9Rju7U4rDEwNm6EfcQQL+bo38z4aR+wNKDHqwwgipDZ
TkD9IENr23dv40lmr6lFigPsF8daWW3Rv0csal5r1Xdb4dlkt1dZuOefvAuM8dtF2rjti9I9yzrg
j9/w+pyrXCS3BgndOAXyqgO8QhW4pNfZN0vWaQgEZe24TIeq2l2gRV9CGowB+4rJDmeiZWyw56A5
S/pmuzg4v1ddZp+GqVNXIMkwYpisajV0Cr7Ym4+ejDNewEI49inYt2gfiJIN3FMg7B/Iv9+nkTgE
LrCcBimsyqPXOj5POyrNVZk20R1r9WnPyUNhHWbiKSVYg4yp4sm0a/ndbkx1GFReP2vHSZ/DTrRf
mM4wkUATOAz9/IoB5MlyCT1DhOK4R8eurqSrr1PmuxT9o1orkk22UJPngscKU9JWDAS8MHQjQBhl
p10ffbfn3g0z58TCzDrMfZ1uTVCzL4nB36mYbXketaGwo7rhByplex+5fqqJhlnK+rkcKZRHlJBj
bH8qFYf7wG6MnYt0+5K0RXJG+h1NZ1Ua1R3gP/kQ07+M66Qa+68hQ2WztrLOv5RNyWkzRFZ6D9GV
ic68cFRTSNk7j4gi9AToJIK0hpZjhI6bbLygdfmuxDblyUCIpVe3J4mYmeen47UPeXgENJKeATX1
SxAAYhZQ2uCHaEeuM7eLDyWeli25Rh3mwXmkcbLQ5hksT8cgkPvE4eePIve+F1SCCXrUKbgiknfC
wAWC3DKV9xo3ibknOSpdhaQIKgaaE09tOwmXNhSi0KquOiCk3QvSl6vZEz+W+cV2MEPzrR8M7xo5
FNdj/dDB0mPfBXnvTkbtVEBPTebPFMHGyor9p4JJ4xoKoo+0sTQ3emj13hcNQXaxNe7FEmQIBl48
QdskxQsQX4wHBNx2wqKNEApZ39ZeWGAwQQ9mgFv0+wfGE/ODCz2hXmcCviCG/QtiX0Q5WAHzm7ys
5BXibvT5C2UdfYaEuJ307sbuW7/cB15g3DNtt24ss9Q/7Ow97GA663qEOBzNsUsMyGQf2iSjLDLK
q4LVmS0aUiq7nBDQMk/3JMU1nCKSHmPsjE3hfE5oD9NdAMMGjeUEE1cHnrmpEfz0mh0tBeG5l6Ca
hPruZ6/VfMdEj90567KmlOmP1Im+ZVlRohetxa3nhM0Lf19cXqg2rjWOzHMel/V3omBYtic5UwiI
vQZ4c57ol9np9KNbBNZLKDLn2UWlse5FZx87dtAnboL44uahscakQBhBmBNJZnQUFWl07NuU3Z2X
kLED5+gWmZR7R3ja9Eq8+QzFNiqO7WwDc0tdmzwrKFLEOoH+5D71xu/s1DAklFA7F5xEfCBMriA4
cGq2NrtT1FnBeC9VWO8dA0MIhEt7B3UgPdiALXD2UslOeThth8QcD9SQAqlt5btsby0R3jh5WR/t
Ro27KFf2NiMC6bFNqPwGpN8Y6BRZ2nYbHKI8j0G4JROMjRDAD78DatQI6fCA9Pt7M0yLPGmMojVp
uyQhc4iuIJfNu2G5cKGQonQxs8fcmOoTuAy1RzxOQZax2CHNjJ4fYeMDnsFuO6u6QiaM+3GF8qFe
RKueXPe5oaHndRlPYFYKDuyZzIi1q3iy+FWqdR8UfMXQF0Rvh6X1NJVJh75riQmKSusQZ5wQoVV0
m66HAwOJqjiUkhVyDwh1ZfoZ8ZkpnoON1o1eRxnpdipDe2WG4VWJKKAM4neHwUyaiWMEqsGMw3Nb
oOSQGRYnVcWsyKHPxx5ohdyZpxMTvnJD+XBHX76WQa55b4sRxK8RFlcxwvp1oQdvw5xg3iajQ56q
TMhvxH6Qn2Pf8XgLQvOo28oEpTekFAxd+SMOMbm5Gse9b03GGu6oWa+sEAlaSSzCp8yr7KVM7DYH
9SDDO4IWAuy1bn5Dr9KfbbD1R9TnTJYQTVlPKWDqNUEx9UvhLukcdV6dcV+m9H91eqjRNRyEleR7
e2ibSwkf99AlwFehLAMK90Cz2sGM4ig19zxh1mNPu3bTGzgiSmRS26Rg9hGjLTQFPqc+zc6VdE5j
d5h83k9VBi9IMNeocvw7WQ4B22cvfQJfYx+bLM8vXtLBoOERJI+ZLAPL1eo/2sT9rVYYMLKPFEsE
UgR/WcTptJRhyPpzb0xTt8Wt4n600QAEsHFKPwDPS/9L+EUEW6bE0tKi3cAzENcGuPBsencJV2xx
CTrxdgJEyOJ+mVcy04EJqTAMk2UYzzY+4p8TToETF7j6yIBwqlz/lGDchQ5Nh2is/0um9v+D+ASA
MAI2zX9/Hn96Kwr1L//rraj/9V/Ob11cJO2f1NK/f/2vkbz7m7cATKlvTNt2mHr/+0geXsFC3PU9
4fI/ywr730fyzm+mFTim7zF+Z3O7zPF/QUwt+Zv0gHUwyrdhkbjM0P+JkTyb7j8NaAyEOagyBCs+
/v8/AEZKqSJTMUTeFyHyHGJING53YRPfp5LhW21nbrVdYnmTlWmwD18ti98t0rbmPI1kvEHUanZT
7LH8LYkWERMRjzmo7EO+xAQbfch8qjYiE1u8Q4oihSKytxBgQFP107HAabrK0Yw8Q+bv9h5N6rZr
RHxAdtNck6iTPUdtyDLAI2WtWOolrfLszDotOJazpghZ6qqijNsT4xQi1cwgeQOUivEbjlqyCX+W
Zd1SoflLrZYtVdtAztOq+lnK6aWqq34WeB5YmcusIrScqDT7r+hnMchUUj70S4XYs2Kdzk0zQDQl
B/VSy9HYhX4V7ifKSzudwaP6LiUnUlxK8ExmmrhZklOrpTolVGFAGUbF2qRDvSEFYH5BkZZumR9Y
B3OpcTMvnh5UhuL+3EUdlh6WvktVrAqxiHEKgnIAf65imQMGgIB1drBNvNuIYxl71AYbVAx76c8a
fKnGq7TMnplz1M8Ra+KDWKp2j5bAWwsHDEWyVPfz4ilf10iWPhQou5OlcGrtKYMzAWcMN5Em3Lha
ERJlPBhG4Y1Xs+2xLJlVHvxgIAv4D1H7UrMY7dnFgvJm1GyoOaGHYG0Ufb9NRC424ZzyXZKaPEDs
nW2/RYtqHEpGNFuEU+ZmzklrjJd/ifYE1xmZbPKOMXTxo9F8ChvZWvUTVAmuMT8AgvfIcNBnizlI
9KYwkMhQzkWBUMvO/Oi6cD3rGBRNfONISkuzbkm8rupKw7o02gphp4qnmxAMLscgOmSbbylvWn7F
NwWWgyGjgWi+nBo44p7Rj9RTWH1CVOWS1PKiPca2Me2K2Ax/TLXL79QhC0dnaxJKwbabAKxtqBt5
57ld+MZ5nPnMqtmNO6Mpmesl2KTiYAooxBvyy8Kk7zaCodhtJWXOeCKoCUxRqEDWEg3tXWLn0Q+0
+lCowqpmBZQgI3Qqk845b9ueq0rPdBWBnyvo/L4hPpkdTW8z/eujxY91NpVhWj8EcwEe6cgBvQpW
qyPd0/KFwfPT1WCgBsDczMNL39rkVCywOXNZVZtxIHY8cAjT3knD8+2bOMEntOFijohNTUd3mdUr
sIZIZ5173HWZXlm1Afq8d7pSblOz8ZeoUyW+9NRUR6NPTDKUijnC8B6VSAcMETonE1pbxxApCO7y
cfyQmPuPk1k5H3Y55wcoc/3dGDnMxxUSgtls7BveFKYqpl+PT6ORRm/cpiR2uuQb1FPYM9ciaYGd
N/hGLwskO6mu4LXOMUFGlD98TiPa6TNlLDerA1Z7IGYxUPVWM4s9sB5kRC1r/ARDHXyh/jCzzdgb
SNy8JH5P5lS/RyFJOW4TTt9mxiE3SdkZp35yihvgq+j2otZYDKXmZL8a7WTRxXsWeZQF/sULEE6B
QLsiSDNMyZ6IBQksqYl00w5e0YPWW2pj9zIP9Bm+IvcygXx/IebFefXtiIiXcpmjeKRUkM2xGORr
j7MHGWU2rM3MRLk8UAQeUTpXJ/TsNem4VAzJpvdkeElTbzxMLoHbccuclMgjP7w4nUnoe2sIMoOa
1uvqRVku3tg3BY+upeAUdl1wB8P6diohLkbjCM3L9sudY/gTGgRH1Q+uMwTnos7HdWTbyUclYxsV
8DzR1SuxRx+Rk5NrJVunS3xG71V2kInhbHLg6nhRG73hUW+31XKml0SSb5oeU6dLjPFLHnUAHhPi
0PYOKzn09HnyzeDcuypAdF0HHUDU2AmHDQFv3Z3DOX/TRAPR9SCixvWgsmYPSN++cZWdPZgdAiIT
gzQLpSQbtsqXwXkmPuOAVig5EOKr96UdGSfmNogStSwrWkF2sZtaF+lV5BQa/Y2l5/fIIGY6zYrk
rqB2PSI2viUvCO8npyWmFPTL8oV7OzgDtqRfd5zJvZ0FS0KQIsBtm0AUJ7/vphJ8fT8yXqniH2ma
RXf0XeGDrPHi8HQwp4k0/FOja8krRVT6pglBfqb9wFsrZn+Nvag42DamFxA9poEJH2fUKhm0d1uM
lnfJ29klKXvWl6E1bCw2BE9A/zDDEzA9hNsi0qh2k2QXxfBO4HdEeIXMvt95RprfOR4w6gRwOSGB
ddx+Mf5K4m/SG+Y3AyU9G0/8OBKITuWsU5isF3z70TqaQqTsaFUv4GqGFyRd6Y4tD2JZbrH9EBTV
csb7cU1PBz8VhlLJ8taqv82+ixNwRtH1ZQ1ViXyT4xcRO4N+4c+ocJTffYSzj/ZqLuVu0I1xmv1Z
fRXMLJd03+G+jbiGVp7tAJVkaHkiVCR7kwk7T3opGV1H4A6YtiPv2TUOnEnEP9ZRKRtZS1d76uxp
0zwPBXvCwBAKM2ma7AnZ4qQz+JpjYkas2ppwvEn92N0TpJieOtdveDf75jHUJXHrXCcEAk4EJ49V
d6edlvWpH3oPXRoMN/GgmWQRsL7xGbmcyX7+xkK/hDRjEEA2wzACiOB6l4B79f2/pED/u5ixP6UM
/D8SK+CC2PpHFfqN+lQf8VfbTn8szBEELl/2e2HuU0izmoRBBKTL+113+jtIbNHKUFuji0f18hdF
KtW8LS3GbeDFAl/aVPO/CnMTh6P0kbdaFupnWoB/qjBfdsJ/3Bm7CLN8XLse+DnBfy6YsT+U5w4a
NKFq1Wy5yl9CxqaoIQmIi5SHogVMEZgoZiiBd8HB/PGHd+pv7Kv/KtL564/+S2cgUxMrn+ig18P4
X0UxYdExKc11Fr7rBsL9P/5pcnklf3ylHmA2BDC+5QjSHKT8S1tMVHbq9nDddwNYdJ7bsCeiBNM0
+rtsN3XMx0Cb7/mkm22eK/w63uChUsSONLjqO8cFDJY5emIwezP13hVs+bWlcmfVi/C5WdydWYOU
nfzHs8lM4XfJ2t+V15p/49dHnsyOiOPVgU5o/2W5L1v4Pu7Q2AQD9NXBQ27IiL83Wujh9kQjNJN4
UE8MSjNrvEG3mdzbwDXk2CCYRPyxEqr5ns1uRP6jeDHs8hJb9l5W2XvkDQ5Os+TYNzQWo+bfygKY
R7mciJFGH0ViWrP2p+YYNVI8GKXgsCMqBnNdvpkILffm26kS65RZ8eDEd7ZDNtqk3zsq9UzH20EV
GyLaegSq2S0twl2dT/d28zkt7QYbiNcRnPQe+820wQ7iXVUgnNjYY+MD17sYu0ku7bplQerzYkaG
YDbEqD3b9ujBzcRtaeQodAJ+stUM+QXf3/RGtC8KfyRLCK/69iwRRRF6VwoP5UjQbmxTJYDK0RXb
uW4OgvzqHeuScYPyJjjZdD8XYDrzyg7S7kYT9syR2pWnvqv8V0sQIBOVSXXtU4QyEqkRzJSu+zpm
YbAlXUe+185MVpTqxWkwz1rG+psWM3Iw4XfdDod5tXNcOZ9K0OArQXYj22hzR95G/Zkk6WcSVe4R
t2JAhd7oHXKHW6MjZLGa4hPZkS/cbKeG0omZDlmGfDQOsIiDiTNzXROnfdBFCCqm6Jor4Kng1qoH
D+bTf4BgXUiKf3qcfNaTNo+wzZ+kJFdw6ff/cHAgyzSbup8IIsnzkv0+yzliIZs+JjeVEOH9Qrx8
wKk2XuZYGa8xsINmVfsNoqukqeCAWY+MwNczouGzVsr/GomcvUdjm++xki1whiXTEX7HM/M0deWN
ofjx33tf8fD+j8Rimq69oEb//tjp/NW+5W9/vNB+fcmvSZPHPAlHNgJLkFL4GDiKfl1oi1mCI5a6
+Od95vFH8W8WC/mbJ3wcFDaNnwcYk+P514Xm/4bNj7A+fPl8L/6Y3H9m0iTdvxoRSEF1oXIKKRCm
Wpb7l3uFs8/QWWbiMg/JZQorOiVVocpYM+5QlzIlCY1Rvzy7tAkHUcBFZhqU5Wu/CGpG2Eb/bGtb
MO5l5fHdrRllroUoqyOBuESMBH7me7SlfUkY2uBfi7h3/ePgujq5tIQ8fdizo85dyZYOq4Kr2rWq
EjXsIlTdyZr8A3TjvQFWa9UlNYENKXSDTVzk0SfaPKdgcu671sa30laveiRaDfyjceQZMTLvEetv
mm3xP48XZxbhee6aViHSE+5zM2v5HHqg9LvY0NdI3tA2DTMYLbcUEQeRT6ZhksXA+ujlA+LdoPB0
pSbvNDcEYo/BLu3hRAAnMzLNUIz2aIrlvSg1iTckgic5stCZmN4sMvGPakd4Jek8BD1cxx4e7K0T
g7dGLW+zk+3QoehrdwCwcZGuTRykDJnfrwFlYuRklTTCeveiVqyTtKiZw4zVRSojYd2dTO2lmlLh
IEVFRbZ2gbTGK5vQ53s9I3xiky3JEun7Me/ZyvTIjDS1NPJHXWcfGcuimu5e5SjYu4wfYLO0/S6S
Lr3OONwPfDL2g/DTAXYe7XVYTcGNpNLpEcyn7bjtOlE94mShUJ5T0rj3bgTgpm5HEXFOtyNAhMy7
zRrhfojRp+NUTMDRDxPD45Iq4bNu1qmbb5XTyedGJerZjxwb3RYmUn/tCyzda2I4mnNaKASjcQFz
L/UbNsp1zwT0aI89Ic1g5kZEe/yEjdOLodgqZVl3GD2rgxM1yW1X2H21GoAzfpgiRnjRxHKiXAmk
/oZmLWaEaeWbiHnbl13GODbD2UGIGA7ByFsQzsHRHox02jROIsMNEjOTf2e6r43HoG5VuIJUTz0H
xYgwxa7tnUYd5Rym0QDqPSlWZRtipmfy5Acc0g1S53aFsas7dWAYsw0THjI4Gx+P4UrUrfrhmvNo
b/gWZbhORE2XjXETkaX0G7WDX+vTwFlleFsMI9vgesr0Lht5YSsdBzjTYYLVuAAldJyGWPpPlYAV
O/qFIdZl6BCk5+ZpVaJYtmMf5ozVF/ckJfubzlNswFZDXkhDLkab9Kkm9zP3FFM31WpAlXTQ9VnI
hnRoYiRy0itp1TuRPpVSiz3l4rz1Enu+REGXn6d4kDuCU8NmnWTa01cT2FpzsbtUT61GnACv7GA6
A/kcgYWa4GSTlXwfxem2zzuwP6TZdDNSNf5SGohdV0L5xH32BBFqfgCCSpwVRlK/WzjUL3JA2kMB
yt/JySCCZnpixI/HsZmmQcA0ICsx2zH8YExH8E2KzqZIMywZRhPfaVW67xmlDTIGGsf4qNkqz9dJ
lpvT2uSRUbvAqdFcaT8a8bujCbT8o4sWZr62IjXNVwYBRU89hW6G3RZg8E6N9kRV6MRS4fjsJ455
HBuxbywKbGQjTOzfqrE+wztNGcsy0ZqgFmLEs9a1o9j/Og6vdvW//2/HAZq4vunk0O/NGrjB/7/c
/zMeD67Sf7xTuv5MuvhPl/uvL/nVrXqgdbg4ER4JuGN/gO745m9LD2s7piBI4HfPx6/LXcrfHD6/
BWMOIB8qD63ev3WrHtZKabp8jYk613L+Key159JG/6nshNzAogT2D/m63Iw/s/L+UHYmg9sQ2Y1i
nK0uD0NVsOnHA2WIq9hrYwz9RMApcIjbANU70edwAy+mW+a7MB+bM8HoJswTAVN3sBJioMOleJey
99TKD5kQ7iWp7lejmaAKCAig2EY92AmuGU0ARTA13+fEyTdKVqQ7W3l8KMjWOqhiQNuygMMwcZXX
CZuwnoCXfgg2GFKpAIqMyCvqd1tpdhdtWx6ln9vnZEzwzqva7rZYFo0rwA0Zj0xGDOMK57bxFXYK
Yb2vzeA9CVqfMgQ6GlzK5ATyhdMR9CmVtGO5z+gaIeFyYtKRZDXxXkAw2oHVBtplaOBl+pT2+Yue
RXKVtMlD2DLSdaJigJTitm+uO8dnW3JwwLVx793Zzq9Eksr9SNQeAjRw08lUxoR0GgbKUMEcryVP
tyrnbcBbt4WwFa+Npg1XxNzpu5bgEq4i/8qvxvwsoz7BMc0aP6qdlXKr5C70HbJ8zTrfQjeYXse5
ci8xBQ3bFmGU+TohewUJlG9Zp2wJw1t3wsJS2amasLMqR0dmLPv9FW8avJw8N5fWYtQp1zDLpUcg
2OLGnbDiBEOeB0cy2yUNcLrIn6xxakEZyu6t8mLdHDVCjrMbMflciQplbuUXpEMVjT8s6VfMB866
NsnVJrmO49nwgMcxqoyCm26ImPa7vWf7uxJY9qkbmaOi/gAyKEK/geSvCuaerk32s0TS/Y0rRH5L
uHZfDZydu7DTODRTomp4SUN+1yB3fKyRam6d3h8v5LcN171JzgXIkwEdpD36TP6lbod736xijJmY
T54V0tknsIEtCgbdmrfEUrrXLguyYuO0YXVQjpcfsNdqXISK3LGemLV3bv30tkPFubWMGFwxYMcp
umheEvGpuVltHQaY4ZqmNrmLuUMPXAPi4GbRuEOvV+TrMBuqQ1N71VUu834XDffI4xDY64G5bvxU
aeTxVTYN31TPewzgPX0ZvUbdOFU7AG2nqPXb8rofzW/WNJmbTI0zJVVuXaWNwVvGGm3dIqe9AlBp
FfuclQdPNSFwBN+2CxESyyH1EsjIeauo2ua1UY/OxqYK/PLS8KVHbHkB6Vpe6SYYwVoRh0RCiQeX
lMKJ6nJEWTJ3TDoQUYTXaceMH3UHnahKENAjUTYhObYi8W6JWe6eTGgNPTK/3LvqArP9Pkq7LDZm
W/fwivzKPTt1qMaj9mWnjmUTuQlrCcufXm3Bh3Tf+ewfOqesPnOkFoxgzMZ1a1pgQsOQ3FAkms9G
FI/jMU5hoWEHGlBVVpadiQ80n2FwKSvqBTZJVsJHsbDmtfIAggD3IoZQmMP0SK1ImrbqYVjIEZZq
XEEB5RrOwE9wfae7RHFMrziiRbb1HJU/J8mo9ypoUYNx2D+pJtAX0+q7b6BsSvK3yAwh4M+lAPDz
UXx6uEswjYX5FQsrCg+I9buBoD6XfcpsXVfmOL2XXWi+5O2Yr722dw4jTxEnbB3t/LSvH3QiyQ/O
xezg9iLRrfqMhr66nW03/ALAT0abp+bPVo8DyUeCb2ySlBZhMZhtxjgRhPuHxKBWpHzu/Gjdw4ca
76au8Yat1wG22Hn4MuxjlFrmpi9bDG0JSBOywSSTmU2hdJFflYVXyyO+U7ZOjky0WplZND+kypYF
ikOcgeA5XJuQduRh7h6TdbRYw4PsanQqg+sFcXBtxgxGZ2WiByDKbD8F1YwKfVFP5dF13hX5pfUp
tg3YNQSs2dgZLC4emMhdfUKyOONcDly9n8axuIrIxnt0gGZf+ipgC8AKv35VZA+4qMh4JFaAbWGL
eYpU0cggGX7XeBB/18hqvfSQRaUmzT0ppg9hN+m0GrIpeMdqZBarOoXUs6o99i6rqRFlwEhmWYmL
YgJhgWjKhpSJ3eWu8zz48ygQvfgcYutBh6tUFHCDVWVyTaJcC7YGE9UxnWv7qGtp66vcrvTBclye
gs4ozhU7s4MmATJYGUih12nFMSl03N95o+qJzWvFW9PPd/bABJoGLlT3YsxsBs0GMkO8+K3Hvh19
FbPHOXPf2mgS+QZrl/vcKkcFa9slW+CQ9fMQb1XjgtvuWOgzPSMubQ0yYPqiKRWPbJb0fR9EhNdX
w9TfuxaW5YZneDUa0r4zu8Z+hghWkMJV2iesgRXp5e2SrjZdzUFuj2vlYqTznewyB/NJ9jywK7aX
82eRVzZ2amvB4eBtBEaQxEVn4AcPXNLcmqKddqiejHJv57b1g8JpUrva8Ivp1opE/OjEsML47sI/
Z2bhRnuYNtZjOqacd+h2+vrUVAHopZZ+8NrwCBiHRC6D5zoPioNZpjYmN3Sk1sExzAFgvxEyrXRj
6rUVmgF0fV3W8UGTPpEW1x2S+n7rD13+smirr9uUgp2+iHAkYDZTSQ0RjLQGXq5eGni110qCia6A
SrOwipzuvkPg9baM0uXaUZ1HkxtFHDQC3Pk6zmXTrCWkpGtedXMKY8hCB7cWeoT1rbqvLof4TXSt
jugQfAZCh2rqibNrleXFaxoFFIyxiDmw3dk0OjQlhWa+J2pyV8veRWnumPUns0snQzU6ELYXQ/xZ
27r58FnWH2rACh/KHuYE8zzy43UvsdevuZnmLVlG6aIIF9GLE0btBXf+8GwkxDauiNdLrwazevR1
40hUQUkEL9DznHPRduk2LYZUMYgpPwmCBmCo8fbPJSlXbZPxmQ+0+d/GrKbNYsEHJr/K8ESolEl1
Dmti2gFaam7SZJ555MPeINUNgFALRKuBnKWylg0H1l6ToZFcqIAFmH+GVGnE4gUGnGH70aNC8PBF
Ui+ixXDQebWtVAVmLZmXOMwxKpoN8ZZ1w6mMcQpqtb0kwlouSAOZFmyiVfg0NG1Jwxa3+9bt5apu
8hqhDE3sPMV7CtJDJjIk5m2aljtCIGsGEjP0rmxEa2n5ulrporTZx3scgUmRdc+wgjKCEPpxzb3P
eZLxV3mKfCs89FFeXyoYhw9N6EPO6sNigzRthAvl5vm6a0XzHrWFnxACH1sfYwFrNwQql1XzC67S
ryEJAeOi6mEeQa8LHsGdo5U9+c4qYF5X7cOwmMQqS2LUv0yiliVHK76bNrfRc9xURrGaR8u5sQbm
bwSBwXeyWoBYB+LIyK/VgZKgu4Iye68jZyT2kQNio+0K0IjrxwRJuFVQH1qui3XPHXAcUUbfVUGi
n9iXNytH51LvO7IRlRGX50F6sbFiQxJPB6MrYC60RBuQGSID/YC4FbWt0/BLA78u3j2TIkEmme1s
iiEzvlrbQD3k409YEmjaW04gQX6EsGpoZFnVgYXTAfkcJCMv2QjBDTLj9l6YLlvm0M1wUOipbF5d
zC7IgeoUKTwFGjmv/lh/qMjj6fB6QnTPPHgUhkkZV2+Bq7oHJHHWRdmWvClGs3tkdov8w6oV+CUr
cifu2Why1kNiBHtbVuOBvx4doz0S6tOGlZUcqjkJGJR6+J1F5dVk5LWaPQMk8nLYpB1+Qblot/O8
QMZvdF70XTLgZf+tWZcRHc4H2FdWj3i5NMw3/DzqZBJeAda0WIyW/lKC4VqmHihm0hVyYSFGpiZE
Bx1M3WUK3Za1/PB/2DuzHcmRK9v+Sv8ABY5G8tXpU7h7RHjMwwsRQ6ZxJo0z+fV3MVXSzQypslpA
vzTQQAFCDSmnO0mzY+fsvfZUaYRghLq/iwo7B9syJG/JMLiXmacnhPKOqtjwm+l4or0YUUZrRDQg
MNoQTxiWj6QyELrRJfAx40EL+soyDgYup5WHr2gVOd2wYVVF1+yiYwQX4Ic2irjEigJJnMJDIjP/
U/oVr3ZN+/Z97JzkVFeOz/glhmSK5KI23ukYMkzUUebHWmpumcUZSG5IdSjN8ViH6M7UnJKGakXZ
tZXMxbl0RWIGxAiIgOYSC0tVovOoyVx0WCTf/IxpVekRdEPXdn4HopxnDFAmuXSdkvfKLGHBjZm8
63IjfTbDXL+DW8L5z2UPucLiFg470ygaIHWu2aYBLxYwL/CKyHrimpkYr8VmzIcWnoe2hyY6BUVx
NxHhuVDS5+kGD4JHEnZFxmrn+u6RCIcsx1bTZo9NZEX7caa4WLxwcxSgcI8+hVVRLJahR4aPm++W
5FPGaqgnj7L1u7MwwgiB/6Dd44YHKR3m6iQtvgaVkZFSukB+AWFCeT9P/b050IDmhoYcv17chNV2
9G15p8r54afZxn9nDI3ikT6CwfTbZnRgL+OEnzoKNN0HAjwQqNKvROJMQE1PLoXQjgirmM+Bti8+
f/+J7tceBjpbVLdMQXTdd8VXKpNncSutqp13oDWTGwR27ZUdLTrFwnAP8Qzz21i0rr//0GW8/fP4
W/A1LYsJv8/IxjQWxNXPX9OMjXIO3XTcQWDPTtQ17VmGyNOA2UT31VzDMpgm3NrDoL79Xyvuv9OK
Y9gluAt/Pmc7vaW04j6Hb9+qX4Ztf/9zfwzb7L+hBaAL7aIpoeBaJnd/DNtMGCzQxHQmsP/o1P1j
2GYwbKMdB+QaZSLxplzG/x+2iR/kauTeoI3xXv8nw7YvyIHlMWYVcF22IiBjzPC+PFUOLZOotgoY
EEN+8HMCHAfEhDKvX1tMFSsU4cByKRuSutuFnlw8+Poju79+Kpv+2RqSl66qoQDOCyGl7/ZoEM4J
ys3AFMYCNtbitaoaEtec7LkF0bXS/fSZEDRa7dOBYFcksx1VzFBpgTkk1z/djb9cGX58OVpMTBLp
NbLW2V++XKJnUTtP5MWPebImERMQ8/eirs66cIP/7JNs7qQjPJg1/GWj4f/15ZRabbg9VIB1YyBk
JtgOqBIxIuXaqORfrAPWvyh+7EWixyGWwRn/83VwjzhzyDWUbetC9B9uSIC4mxdP7UQFU/sGSeWl
DDLREwmkRLV2+64JENT0K+AJEaDSod1jZdrZMcEdeHSLIr/UHHNeO079LLXhWAr3zYzWNuOFtSPK
93rMp6CyUPaPhTpNtqTTAgVnG1o68lECNSwcyUHbE3Zl6/GwjsLpTfTzi1Lxq8VZd5WlpNz8/uc2
ljv3y2KIC8J30GMJ4TArNpcu809rfui4UT9Zmr8uPW8X4ekycirEKmpJU8HGWT5XuUCB2IPp4Oi4
8FZpqH2SEf33pfFPZT0/PujXC6EWtEwLzL1teqSv/HohE00fmUusNlnLwNFQCnWt5j57slmyTbIP
ErqONud6KC/HuiM2yZlu+pBODDLojCaxeWN19d3inQXkvUO++zYn8jWfSHnJnNvf/2oLhvGXX42t
CtGlh5F7YfKzuPx6sUXi4fUEMr3R9Rk3FUcGVx/u6QffKU1cIvO/bzq6BL7Yz0QzxEp/hFRer6g/
VxH7WT2DtSBx2MVVFcwQ6CIBW6Yiv+P31/kvd3fZUgnxwuzHqwSk6otUigGpK+LY1dZ9nN0RW0VC
dp4PK4bM18Mymw8bOrzJAB5eAP4lnOm1V/PdlNebjknp7y/m617/5Vq8L9WFLihfMpcUlZC457Hi
PENwCIEqgOBNVE1/9XE/1qSfH6jl85jfMMDhTiF5+/JAudbCOwass7ZaJtFAeDBntfW6y0GaT/ad
ITOTgMG8XPelFgUqd+OziKYL9A6v7oQJMSEbZiNplSFnLZ7DjiwTJip50tzPMc4YxFhZQHzSCEIi
vuEY09G8oeljzSfExvY+EdgeKgNRUt2bZHWVxoZUqSNiEjTGhZNvbFudMqXJbcgJZlX5TbNvCTba
lA5eCyfnOG3W0tq01nz+/Y34qjb88cOYGJnYqwwXjNavDy/RSRkwOm4ELhlwmHKbVFdj4hHifPn7
D/o3rwkFpcWmiHWK/XdRuvy8uDgzADHG0tHGSlwA2+m3wqG8tT2iFecl6dhvoqdkHJDAzRdtN91a
k/kSevmi3A5f6xDwudN8SndeFXq6rzP8QS0jqTLb/f467X99NH+9TiqLn68TiB8U4YrAt3AWp8kY
tk3qAppP8ueQDRoIYw+gueppeGgRkMixuKzHasJRrp4lyelwQmbtivEGkZ4jjSmUzP0lp5d8nTDu
2OM1DHdSCfsw45t4hBdeBsjDrvqSub9ddeRjttD1NbMCg+bzwULvcenME4h7ZZtEiU/EIao45/zU
dojmy6exTd7CqAK9Vg3T6+R0jyaKbg5BUf89x2OC60LW27BT8kjyxLxNo+zx97/Zvz5EVDtodimt
cMWxg/z6k6WtT7lhFf5aOiEEqZRFsA9iy92Flbn9/UcZ/+6zqDlcmmygZx0DLdXPt2dMdNU1Vumv
e3O2Dl03P4HBso5VDZcc4I+9yhQ0/2K6bOR36eJgLS0csCbI1NXQlvV6ngzBTXHqs+FPf3Fxy2f/
usogMHV4aznJ8DZ9LfuypCclE+LVOsmzwwQm29GOs3r4i1/ga6XiwgnkgIRul89AHPblF6jNVHbE
HEt8PhEW08VZAgV1HTrA7OJo0fd0t5A6q7dMOQ/JMN04jQXXr0RsYBfkL815hd8kLhgPjGccRNEp
05jY1KTq/kVB8e+uVHg2myKPhYmU7dd71WKpyEYHbKwnSlaVGBMgw0hs8BFdP30JFHa3OnotD2rL
73+kr8c6FyadifEPOSW7svN1sYEG086lLJlvVO4jE2yWGObNPue6wrwlTyCIc/UXH2n8u8/kxIxu
y2eHRX7167f1acvZbuoAbFPhDmkNiL+4Gg8V0r+1GVPa52jmiXNUkf2WxOLNnE3CzrR3IoRkEGll
eeWNxfcEG51RugjA7n//k/w4sf/ydNIapr6jwHVhSlK5/3p9o6YMiAKtxhCnW8ekIYROCGeZ14VI
CIHheYazyEM0jCbshOjQzeK1Ketx24rwpVZztQJYcIso7DvJ2Nt81BlwomXR0vgMCXFHOj1bVQn6
oCo/BPvtxu3ktsewc1HyrxmSDAfY7aRUgdEBv6u2qdN8m3L9vpvsF6MhNWUqtn2dbm1O4JveIqP5
97+A+1UlAV8T9PNy2KfLAAPzSxVQxAArPCNy1yR73Ju5c4OnZU8vXQMHx3SOwIN60zjRZTXKjAxE
/knpIKOYsmbTyua2rYdbxFJsBhpEM/qYxHDVbPAuAUBQ813oNuvcx+RnWPVJNi25cxOLtyJith6E
sbDXINTbwxr/zRvYo2IlpHfXWwTvmPGlIa11mkH6IfmnT0jwGHQEbEiPPqPFu0rb9qru4nXPhRp6
Ti7PeBqT5JRm6MnBfLz1bbvWLEuukmLYta24JBVmR0t/3ox+6q7IVpi3dsGka7SYomq6wSTKgIiQ
j0Q6pgTK2U1gjULD/mTAM6g+BsJLy+zZnUk1ar/9xa3gWfv1WSQbmUO6y9FucWd/WRk6UYQFc0nq
MTNQ895x98vkHGRR+Ufp9z+dM/a/yR9P/4Si5c8bKJdvn9H09l/n+u3zWxP90kP5+x/9pwOHFgnH
XvJZdGSpHq/DPwXLumEt5bK3eGqWs/A/JE3ibz+kzSwjC3KV/uY/Wyim8Td2JJO9D6fvj9bLf9JC
ITXsayEGr1AInM+sWhSmTE1/Xa9iwsbHOZ2b7cLHtNd6LaMdfMvoGg0e3RKnNZ48JT24IpiET7E1
DcYBniPBsUMMNMg24+taAffhhDPZn2yR/v1ctD5gkJIB/gmuYxc9ApwP4S5rpffIAdJkdG2a61Gz
9FWjIz4hlOPBdbDZtVHXX1eF/jijhmW9KIb72KnyezkXxSdqEuu61vNkb6LxPIh5ji5qmXfnPB0B
OluuA/iwydoc9HukzUzmJgIogeEh1GyL+UgLadCDuvPoLndhT8ZMDAQe0bG6LUaRz7e938D4EtGc
31VY8pgxIGO6y42S0BdiyQ2kiqA0ENraZtRfmDLr1crqw+qT0XhH1pIqiEiyckSPJwI1fZ+gVNMl
xx46WX0zTWn1add2Ge+kP6b9o2ZI/7NkZPc+G1Dq9mbtK5iWLuJXmQya2Ma+X2eQ0WGcXDueWwyH
WXP6721IHOfViHb3NTM7474Ui3qA0v3GtCe4iklyEaFMx+WpRZW+IxFNvOMCtvsLS1Toj1RYK7nK
IoHiKRorumd9XRLqLO04QA2bRqyn+r3dlPEL2TPys1Na/TEylbvivDa5EOtVCz93kHbg5NVwpHhq
dwWbibdKSUPa8avYRtA6hLxkjeoZ5ccVa08PMkAarTxZmZanrzMPxy3jYrQvrV7oB61GPIunByrN
LH1mDeEUQTmxZBxUHfMriI2kNlnobB07NZfs4sE9aMzlT3aRfnQ5TwstnhQvSF7ixYxlcgceU67A
/KbEovO9Oy8UQaLNBoMVeyzf9HIMkcF31neZ5d4TFFkecoPcWes1qlyBpT/rA8S67xYbOpDzXtsn
oyPXOFHjnZ7MbbRucz8+ija/XZyUoMPr6IQV1rlZGhgvdZ3Fl3KIG7Eh4Tvaqdb1PuqcwDLYT1r2
jJy7w4JkOsAiRSxHSeFoEhDSIWNLf5CU0dxFWVIdmsLSdq43K5KYMAyfmGSSAVwUt/DA9E1cGjbd
F5IcVmib7zPb7l9q2wUoU/U87/REnSjo+yb1tst4xNrrYT6/kWnXRU+dXkbEWo4R5JkiEgmgXWTg
w4UOrAL6ZjfDdC5zPS4uDNNDGAgHLHpuhpgRJelfbbktiQ4YT8QT0M6K0gXzgxbQiraQNUxFuTUY
16T4Gi7hubV4sQgaw3PlSVcLdwDY7SeSUZR25dhNVG/JQIu6LSABAzVV35BGTvfWcsiiHyfA9CM3
moFf4aS866YsxitbubK7DHsiFFA1JTqpfj7/1W3kDSmmd5d+4VPL08WMyc3Ye0OpAS6OBxjYQTH5
M08ZHvk90TntvZ5kzgVZHFLdpU05eZtYa/3k28D079RDtOPFpqlIitNsZI81F2oGdpmk37Kh9Zn9
hmFdraqU6BxOZy4BSIY+E6TeeGgVIS4aOLjJiPhe+wkUf2ENcgO9I20ueDKhalTwPFZYw+ybuo+L
q6JwnE+hjYW5p1vrx4fOdup3y89q0puiVC2hO1gYGBXGLBKj+VAAUHlQNg58BJyGvQVzIPeOXikq
Xg9UkovGh0k4eZImBxig12hvCNlbsUC6TdARl1cGfEX0NHGFuznF+UTrc0zpyjILHl564AmXfeoU
TyVJT3gMnGG66gYzPTBm8xlMUthtWIeYII+NP+wFSpjL3lf+GUgD3hcvifxtoonxxhkh8doRxwOA
DOg5htbBU50WsrwIlelzLs9G48JQU3xsWzQdjlare5Cj1lPO3HVr1ITdzIUvLjrGjS2qEsfLNwhw
YSlKzuCWZo7JRsbakqeMd3qnT51/qrAqBoDDSDaH8QdlhMHotdaW3ZuOrfs15jzLUNFILwRQqK1e
9+Etu2Xs7ZThNvelkYzvuCvtT9M3hvuhzodt7xR3PssSDELl+s0m6ss7ZFxjsmrmCDUNtG59hyFJ
7hESIkdpeqzh4KRi9IdtbwUOivlo62U9eYRNJl4kgDK17pqiOaZi8r77CENXuPxsCIG+vk/aNn91
3ZzMw5I56rDXzc7aoNv01kggy32e9+WGNIvhyoGMXS74GSPZTgZfuNWl8a0ivvPUES8bBWYBjvI0
5dZcrZt6Lh9UNmQuaXY5e1fRo7Gq7K4/ki1KuFOJe9fB7N7Gr46m2Td9Ny0qydS/LmoYMIypvQ+2
5hq9kmxekh695GoAoHDA4C+PuQEpc6XAKtw61ljf5jGI91Vr9/4119K+wmnUH1OjQXTTQcm+NV28
AjFQF1KlhLtFt/lNeGb2gHIs2QxhHrdX3L3iRUerS8e5hTCL0G9XmjYgvrL67EFFnCNgvldULiOU
giJ/ngwMV8rX4uiiKG1sVUZXb1K/7Hnf3NFaG3osbvRqcXsgpppujE6bqzvQs9rBtMv6lRk2D5gk
cprEv1Ll3hp6WM+gVjTtu8D9+tp4VX8zwp60LkDPpM/lIKW8nuw242VM7OK9HJr2I7QyZHvNWOJs
akh3IwZHJ+icg1vvksI6MTm3nMw9VF6rRQRb0R8FMwiCAkmUZDHTNdcly6KMwWgS0AWPNmydGzsB
0uYMiImW7GADXEhTtNBwidsL+NM5FD/JwbMi2nE3zUP73Sl9zpJpz98j1ui+O0PbX0BhrU6DqN2D
g//jJi3Lfl417kRMopP1yUMGJHIXqbw5xlGo73QRwtms4VCu8J5kTwk95ijwRcNmM/HjNIGb9lxh
H/EvF6ygv6+TvEkQJVjzm0I+YG/UaE1v8aSFH20zuja+px4wqvRsFUFUmaL0bAA6P3LjsSaZ/PGC
bjHs8hWWruJa0WW+pTCNUFkQIgD1FM8n87ps5mGFnLgz/aR89VMk0IFjFcMW51BsoPwDcd+Cm3kp
yhYhLF6v4i2dHNKiQ46KVtc1pMjUHWIZWwuPslSGQzvZSS9cLmkDXGGeFgNz+dR6Un2AOyHu2yqh
Q8WRw+l2EQ6RGzqNp7qpivsSDRDI/rp0rkqPwFrmhHGDQHemw2zasjyz6k/runb9eU+xU1YrmjTy
gTC8Zd0ZWCYbk7xb6IjoKeuQomk9wT3KOT5O6tWLE7YaEnHnaxQXZNtUYBDf2rZ0Nm6UNKS8qzS9
tsigtlfugEgjiCYGgahEAR21tYEppkF+9SDn1r8HEpR6ASeB+SqeIn1flCMKG3pe9rOOXCK6S8mt
PSs7srINC4z32VJbtkD59SncNuzM5wIpzyHKylBfxXnr7dEXasjwkS1NK8lvttdj8gactgWf7xi1
ewNohmRxrxjMO4at1boSsnuM5jYmyNv0zuRZULdFjmpuiGxy+q3uw4qkJNF0YibbXkzYjqS464Uf
Xyf9LCjyEMJdO5ZKP7CvWbeqYqHeC6vE+gyMhdyZ3tE+WfGSLfuz2BITmHxzJ5SIlELOA9a00tiC
ixe3ejcIOJeJGwd+ZBFTo0yaJHSE/UMkSvclhRByzvVae0evn9zpU1THR7Np82PRT+537CtxdQJc
XobwmJ38Ez5M+zgP47TP5qw/upWTghlyI50Wh4s9YitI9p3WccEqhIkjF/tJJdqDkFPWbzKiF3Z6
67THHPBh4E6xrgfKqayNMXV1FxRmlh30NB+iwM6Q2M8evlME+vTK3clVLqLCeNymRlmh8U3ddK3J
uN4MhYyPBCHqF0bePY96C6ZWljFhhxNNq8JUr2GJ/IWtCex3hDsrhlPP3iXtmxjjGhJ9E5RKPKHZ
01m8Vij5H80UbAJxUvCA2hJ3XeN/L1173wirvhhlKDfKa7OtzVRu50EXJ5hxCr+FWtVco/5i/Zug
62Km4XQITn9X5tDNB0oEnHtjL/AvlOV5LJzoQiVVszUmrdgbDWxSJd3uY0jb6sbVJuYXYU9pRBpX
eW+z922FNzT7IfMlDvmiCUo/uo0Lluam40KnmbTOAXX7yu3LEC482PvKR/Q1yq45dSayU4fkhvUQ
Dx+cHlpahqjtVuzEKdGzQ/uZ4uonT23ICKtMSBlOlEmAZqFEexh4QAJNm+pjrXCk2GWaHHy4+2+z
pz7nSqO2AhK+bKecxqqogJw/1fVh0swZ8oqkpxdFnGpjZkeXfuwUGzB0VqCIzFwBVDS3MQG0N22u
T16gxhFCmUrbE3nZ+E+1SiVrz6n1a2d2mKdriThZZXjPY38j0Hv2Y/cINMc+00jFkEtMIWylFHCi
MfhoIJs+8FPJYE3NSXQZEQ+bBsnUZY+lNUZPuhQ+boQcQ69fqAcyM8e3uErHs5hNkxBHIn4vp1m4
e2EO9kUZMsrd6WMDl1FPxvlFmPp1WjX1dYq1cxc27b6jj0cF2AH90jOrgxK1uD9Sx3mGjdO/V3Nz
mUeZOjZZkq+VsQiv4bvJd9MPdfhBCL69biy3RDxgT2pJJ+tLv1l8qN1dHvHZlqecNZPHbqsyCaAa
mCQAqTk3r1ALDPetS22OWbe1Vh0dejTLxPe2hokPICcwBDRV846HR24z3x2Pjh8Od6F0Ms45rb4F
oc3uBr9wa2mGePKQQaYE+krZr/u6n/UN1ciZHqKrNnmPHHZVdka+UZpyIP6mXQG0nuBHtnBDRQFs
fBDurWZVr21O8bSOtK7/zvi2dUGUj/CeDLMoOJm0dLRbdpPP2tQG3EGknu6TOS5eR1nTnugsEwE3
iKNKnvOk0h/DuC8pv9P8XCaW+WpGmrgGSmF8NhiADKTdWY6hhftw0XG62QqyFZjAzWP8mKpxcIDp
VmZ8V1VNUexHqbxNRcB8tfEyNT/3UeVA11b9xYgumPPCaBVngw6r2C8NkjfpaMamT2ecHHY/IgG3
7JY9rC1a7c5oFoXm0NsB+0t1h8OlfTMB+qPlNPK96cSvdVJGR6tp2mKTLXw0faDPwrkuM9Z46517
5U4tpmqcBZdynDB4WEWNFNdszNndtdjrta0FQw0AP9Ji7zFRsanvKnZNa9WE2VIy4jwaqi0Ou4Qf
AqHgjK9UxySR9L7+vdLH7sqDIvykj7mLdZw4bSLdWzd5jou4PtDBKXCfYvYhco/e9kFzEyu/H8J2
vsOb25PKAAGkOZbRiIRwjiZ4U4M2BBNdiV1ruS+Q/HJ/w5zSgCJGS50VKdYJuzCc+ZJDZ/3qF+xY
EOHxMqcS8jFHM+0erJl30sSMet1PkDd0Zf/KKxfXVyz5wj6qLk+ujdCyP7Kk857ozMC+ZD+ikq6c
XYGk98rxK6Koaok9JMatfSKPiRRVP8o+E63Swr0iaQClbVSnGEtmizi01M9rh4qPhgEYPJOcC1EN
5G3UcTVcMnFolmNhJ+lHZAqYDuLg1l6zruM6xISzBAM3JfRH8JkY1mN75HVv0DMDzkbRbu0bTmLJ
NncnL9v1bq+vsRW0bmDXVfdshWoplZmSsOc0WXaf0g50gpCO5XXB8YV/mqMBDaKcB3PFPp2Kg3Jy
+w2DB0hm8qQxBwwTMC6NLWpiXlitbDJVDoNfLU5lo3oSueE9zyBpR/B2kXYuPWJVgwanakMAXjMh
W2gpYeOsqy+oxLMtUZZQG8Kpw2CXk1CEgAebESDEyJOvtpqqXSE6cZWFBQRjs4DhtcWs6BKq5Dkf
gv6HxqQaTYOwMwIcY2qe56QBhLYzRIc9XwnrnDNk2Wc5VnueYCu7BTWj8LlYqg6imrNHwLiVDGqj
FsXJSOCnAT7IeUlydMXVps9LkmFCM4d6xkw2zCvEMXXYbVDsJru0d4GChVk4vkCPcGe+idc8dpOL
YVR0o8+3dlHEk+bbMpFy/YkGWp9SJXdZZNx7rhf1G7v1BHVCKq2jaODsYJ3okzdcaDN9i3jUjO0k
DR2XSm+39cHHX0XKc8ehi8dToH2Q4+I3s/VRPjMyanZ5YYoDDRE33sJqLHZ0a7PPQuXmJeZXoA9Z
inNqlTduLa7jTraPyofOrwadsPQOsTZfk0mTCFKNyDUesc6AZc6jArswxIIBQR3+S9dL/z6Pa07z
o8nyMwkjeQ+nAUhEB/HGPLFO4NiRuoHeHIhQblx4I8r0nfT83sKL1HczY73R/ajx/j9kwiRoOI3x
f6xSk5beKm5dMnojQe+Rs4BGTiOR4zBTQY3LtxFe+ZFxFr1SgA/eFdopoHku6ycLNhZRVFWs/zMB
oDAG1k4B+S7ICoOGDZkeC0wp7qsrxt7jQJM2HV9EmKApwdz4wptUm6daB+smK9l0p0o3QSsNGop+
BlaN/AyNOIm2o9kxHCaYjghQtiXWlbEYs/whsXrEEpjJMJB2rRLBwDaJ51SQrW0LhPua2cBa7it9
OiGnRy/GKVKTAWwKJTdzVmbJxoSgeWNi+ql2HpVRzZHJb9YKJWO36QmFuxxGCLxB3SbzRunJkmiO
DZ8FVV8y0FlVrZ4R37gFL6l3p2lwUPIsmRJzkE0VfbS41mkmQaJiHZgj37tqZjJCIIikOUcwwTAv
TBKAK2icsc+VnoSYog+SZtFUcsFSG5vwsgGDGG6z3PiOOcK7rRnh0nlMhFjZWtmOa50AgZTXOCNv
Tcuqutg0LJtyJVql3UiOGt6jGYN+lGQkcYBJWuykg9FrW471dvzdhtrwCugTtGUSm/FtNno4zShc
1Toa3Pg2zbxpzwQ16rcRvNrHKu6qI5Lzhe0VUUkXXpWcM5U9V5oVbsrYddOLhE0Ekzbje6la4I/d
GBZvDHS0zzKupvsE0K22huvLrN9l2Z2OGVthvRq9LL/iDDl6e4Ao9LLT3v+gmKvf9cTLH2Z9rOOg
rIYGt6cWHSCp+h5BeMs3Ar1prSwhCBqPMvuboYGComthbUcaCkdaOjZERKc7N/pkdmstLy0Yiu4w
71HjyttWDdUt2Q68AQnMznVkSvOuVg1rdjuTgpBifB2Pkeqq7Ux/RW7nwe2jINcaOlFG1TBCDW2y
RPcej2/Ca9Rb9C2h7idXNBuwO82z0c+nalEf75sRSt2BbqZnQ5gxjYt2iu4ihT2JTuL0pocxPmOb
/DsdpaWn5mz4YCCjOAko85mabHTY25JI3BHyQtOiTD3IjbWQ9zV46ntqUbn4KzFnBDqjKI2yTakn
UATld9+kcmbyQh8Al6aefzObxEsD6DkZ8taRZj/mWqw/5ojgLmehp6KsRb77MXT8n568/in48H8r
SMrEwIC47c/ns+euSN7ef57L/vFH/tC2i78hIMdxTICnZwhwDv+cy1pL6jYPOxpOdxGpo037YzAL
l9wxkJz7CF/QTC8j2z+k7aYPThEfB38Q1QNCP/M/mcvSE/gyukdOI9BeLRGnDn8tIvqfBVhL109w
EC92Xdc3+9pIu7ciFkQ04n47M0JrjoPSp3XGo03bwYuQLxbygjze5AjeyQg6HNSPXjE5n35NTpWy
XW3LiJrT9JCMRy0tInSIGnoUxwkPdk4HUY7zm+hszgjx2urMaSXG/KhpmQ3hCOiUW1L61n6MaR6T
EP7HR7O0P3lPA6snRidtKrUzCY7ijdCZtagKiCNVTYwP2jUeMieGEq0QxR2wSReXVTrN1zhO8o8u
hd63aIzepxgzF583XMOF1LamrTFVrjiwPgJNJjeD5KzAhv+zrv0wfXXyDsbQzKeGnAbZfXHQffa6
1ZO8UconGwz0hVaU1hqNSr9WRX4Dvbuk3xe1h8SYcsxO3njdaWiwS8YpHAgabOQMCMbuHLGA77VU
FMdSDt3tlDcOLKKCuDHy2MyHiYacrMfxLk4sedVENmANlOs7LXfPmPP7h9bX5TeVxfVzLAb7Jged
QTaU559jT1nBWMO6zkUY36HTMgHUTo+J26tz5MQGDDrlXHT81sc2D+MToXLF4wA0BDu9vmQLSdAO
Mg1qmE1vEHbiqyjyMA2rGHH/qmQdvQMbmF+5VfQttGmHzDHZg00n1LOg34ItfKo+xAzdO5m8ee36
41NkVvs0chD5mekmrgzjpgeRvom9JD2T6eg/22KsTsZU2UcrrzkjdnP2CR2AKJG0Zk5EFe9cTYwo
r4q5wlKnI4v+qJxOcdAihKUZcValUT0cCPEKrwa6yXuQgBwBDY9JT6GZl2pyv4X10TCfSfnTNzg9
/DuM3eUhc5pmPaNhgbqedNVmlhNhKLlWFWS3GiRjsMOnV340Y/3Q5unBnDODEwE1rLRL9QTvaLrK
Jj8kT6zXT5NJIrjENhwwtBzWncENYoRhki80UKOxz1TNXo9CCtSiJ1VaE98RjnrkiNHxUqbyt9QA
IwB9c7xo0eFc4Zt5YGqu1j5nlS2ib28LDNG99/GpgojJszcRacgkm5guokNICS1obL9JLUgImCf2
sUKD1j11ZaBNusL5Xuobe45x65JEc5mLctqbqnN3GbNNWhbudTHWu9wqqMi9uboMvdBeO4mHEFSs
llbmbpb9qkJzVydhgCiK+tcs351o2mFcjY84UT3O+Xp6g7c9xiDOcSPFzGsbqb0VnCN2Jul56AR1
7yWNx6mnDC76GyNWw60oqhdb5O/FLDfO3JwgmX0kfSHOMxq0faUtqaRGHrL4LP+PBCJawWAMMNfm
26Gxbz0jxgOe1e0aWul0J32Yb9bAyQd8AIVoTJfUKa/qeB43WIeLwOiEdluSlESG3EBJCi9uV6dC
hwiQtEE5FcYRpEp7KBvL3nRt5X5rUYRuRSmsy7qzeJngsW5CRqR35Ejzq442A9vJH4Om79n8SSeF
Q58VG8+YFofQXI1PkkS4C8tN8EOkoDJRhpaH0dXipXBqdn2ZTBegoKlqjKbBqzbLeRd24Xz25Oxs
8cGSKW5JjvDhNK5hpMMqS5m8O4wrSZeI2l3qq2yjheSUV1MH/rRzOJejI3yvkJhC2kvL6YTJ2Ahy
emr0dMvwiUp7DqhJaN76A9GTaiwOnHi9fUQk1jsFcnscIlMPPD/Vb3nJkXwCDwqJR1ciRjc3WA/i
71E/S+pP+iMA6P+xdybNcSPZlv4rZW+PMsAxL97iRSBGBoMMDhKlDYyURMyDA47x1/cHqvqVxFRL
nW3WizbrVWWlpRQRGNyv33vOd4igp3JmFA4mPSEjMu0xrY8cn76OfvFoDlJu6inZadC6OHK1e2gL
bsCGYT/1pXbp2uE8JfxyEsRihtVI7ZeUIqTQ6RNinBmUg5fSLgSyXVUo3MMm91HaCNvGII2Su13S
j1yF8bddEpFUaeu3rZtvMh1oQxyRrEBO44ogtVOX2uSomVhaM9O6SmdS5UBD3ZdzTxvuLWzJLi11
TzMrwQs/fM3w0+6HKjKCMOyv4zK5pOAZgyzVxu3s9c06aXVrqxCO74iDqHemzQpuL2lPI2dqjsVg
UzlQX+LefUydWvkrmO4OndF6eqpTlg1CaovU3vdOyOxkiZbSiVIgWKuh09Qu9CDCpxJQsHe6Q5uf
v32de/0+7KNPKmPVz5MH03TPoojQBdLKgbpYbDAx6yt7ibiKl7CrZom9GsEUHuBkS0g3pvXRXuKx
WjNF0Ci97MAusS9VWN9H5FLsJtmF9trol3CtYsnZGpfELblkb7kkIV5VpPN9g8BD3YpkgG1wAlm0
pHW1kJ8DdwZ93zrMxjiGbRy9e+pI+gLcv4SlzmejiODhxoJtFlw/MXqKY6dMKkIvUhZVGHlHwGsc
u832xFBqXcBUXeLUONSnJsIjgMboEldKpmaNgJUBljGrA2MZJkdefRJgB6APpd/oA/r21imBSCAZ
Es29GQ3yVHvfmNAOr4k7hWc50qkeQltc2W9JaP1bKhp0TfU8sw19S2fdC+olQ814i1ObnFGyvXFc
e+BAz5HjLYONMzOhGUOeyMvU6yqYanhb2kRwm62W7hYDOf0DS0+K748U3laWZBiKadjpSwDc7DFv
7+gUrieD84IGfZIggmkuoDROYRyYcftQx+iQWundeJrd1SvaPh+mhPZKXVGiRHr9La/H8aEu3Bzq
vetsOytn9zbNwr9AFvswuv1tVUJcJDb5jFF663QcR5TZPRmqeWxmfBpmmZkXAN3VFo/MtGXbI47q
LSoPaon7lC75eRVlRWRnX9LY2jEA288tcorE3Q9q6MCNWCBzZ6sgvCZD6LEhT4DLnm6q1EYHphM2
yslu0vS7TI+/sKF9gPr0tbWt3dIMPtPcltvIsPy1Q295ZSOIYd+lCgvjjQ2gP0idebrGNqmvQ3hH
gTlZ8owhZZvDxIiDYXTbwI+t7hwtOTxuLYnk0SAdBCntrgeWX+80zS3HdbVA4ynh0R4ZVJ1WfNar
LLniEK8FSQ9oXpL1fqGKm+6rNEd12w/2reGhfC/SryTnsd+MVnfVcaPXMu+uHaaiRy2utFVr22QW
tIJsEhRTx1AkKjBMktxMrdfXjOif08mpmcIRmYU1fQnUkA7KPCA7snXGoJpj+9QOoXFL+S2PoJTE
vmbuT5ZkelVoo/zU0SBalI5eQExhTLrapBFKwmD+rsHofeOHhoFQr3r2cuJVbb8hnIPdZzW6zgEG
FY1HqZ4kbDTZV3aQCLojUyF3jmKGFOqG9tFOCu+pLAZtkyB1fCytJiichSZnT5CwyDvRvtFqgTKU
GM5lgK+1HgEUwLaANnJkUpTjdYVHhcFhbw7K4aIW0Ql5VH3remxSUZVj4Sq7j5gS5YmWZfOJoE5Q
WbZcUCqO1Fh4FjHJkDGKIxmZZycJmTAX4XqIfGIo3cxfz7Zl7+q+Cx/LKZYXPRJeIGMZ3plNTYRr
EtUHarDhrhJ5+bGJGrr3xUDLCQndndAKfUUKcP61Kgx3R7xn+epDFdiNQ22tPUkFDYLIOpH8hIxr
1srimW4L8rt+TulSA8O6qvQpuY8iqjy6WDL5gNLUYqmt4dJ1YXQ2cl3fRWahnw2azrBEI1J347Y9
hEu+M3jZ6HNpzagGcDIHNO2Lr5bs/DOzEPvDZBjaqlODs3IwkX7yWxJFM9gv9xWq/uPgeQgDUiPp
ufTwKOCgJBvemHTdtsvmWsaXNrW2c2PHFGwtbdcYxrfWjsPZRU66dgZZnq2WuUGh2+5mDsNvA9Hw
bykVzrbMJ0q30Qy3ANW9T8bYwGYqC/NumJ12MypDXkVt6lB/OjBTlW1/5sgqN3MR+d9qFYrA5wB4
iCevunGiJDkT7ZPsUSVRkFulPFakebFrWP4WOSUQCZHcZtpAbnpEZe4lvgH3y4DigMTiLObmptBj
QUahjYHMVYR+zBkc+lr4B+Ua5skemuyVHyo3oV+7V+gBLMaeisn4kE+vdjh/UUU2rTxUxxDkvCgw
mpGAD99YPK9EXRR5GV6FcXTus4zK0fCvBXzWAE5jT4a5nXxMFo7sMOefKq8nJyZK3eu6QyZiz+m2
BDa1rkQ7XC2HfEZ55TcaUzsUY+SWKH/ahE1MWi7D9g9xLDST5hnD25h3Lsh7B1GmjMug6xrjZFGC
raUQ5WNEAR9ylus/RLrtYBHT79MpCrdWuPWGcGdkMjuGRX9JBydwo4HFZaIk1/UtKWET4dSz3KqI
yTMA1ZvUal94PEdmZkV6ZoiDj3lqaJgqxvYDxvpdM0Pzpz1akopk8qDmIeFDTerc0IX/NMf6OWL9
3OQIz5faINkCpdQ2fa2JDee8cO/RKQ4yK2kufZ0ndDZbue9bf95o9pLNY7fp0ehpc8u+8G66ebJ2
Lb1kHIDRde+aYF6pRiNSODtjWDHQQ0uQpei2jSoke3r2xUdCnNbjwkST+QK6rfKIfqIG7SOz93F1
yjwPaVfUDyeg8Mh7PW3s71s7LT8VoeDlMYmZ+tKE5aytwthFsaXHctTXep9eisbQ7kbLLhQxnlbP
lHqJ+KbMtHtEYFl5TlVqfGYHbM61lnPMjRu+eJpJb4XUBy0tYpanzpzDDwKpy0b2nFtWKmHIsSrK
cTqgXzN2SGvUjt6uAzRyzI6TcrqDPVX2nTla1q7rRfPFaVLAPTTfk08ViCxAQgXaqLrmZexZPLk0
/lWI4+eArM3b+2IA1uRYGTm7rcI711hPnKWHDz3RmPe0Ra1z5gqC3o2ymleO3tyY3NOLKARfhs7o
h0gM3+o8FRtOQsQ0671xQxIZAtAxBENmmj19A3vhsgG0uWG3NTaFxfSD6qNYTZN2QviGxhHV9pbc
ZoTchtQWQiXDE4G6ljKdgeFZr3333s1HDUypGCi4q+IaMvQGoCGK48hmxeqjZO9MfYbOi+G8r6oH
eL/PDZO+eUq0VTokX7PMSg+ubEjWaqBzTaMkNXP82HL48XiHXdOYrlHUfSaATjsyeYgv/1f6nv8P
OU5Mmoe/dZzcJxmTpB87mv/6I/9ymnj/9IW3NAy/Jy26dCe/O008758LrEPo9C4xZv9gNPEAfPAv
fBO7sL0kxPy7oeliNCHBE/qERY8UlMffaWguWP4frEhY4i2Tb4U7kaYq3mT7nSksNGNY7oTD7q0+
JteoGXA5VMm1RYrg0R0HZutY3wJrCQUkpHt8TIYsOhISiwpFR2lv+OTAFaL3qGlbTnic+O/QZ4yH
SqvVdeGO8R9cbD/bDP/6fd/7qLXJUYk3GXvQ88N+shamoaADh6WKqlHH6yp9hDmFHn7v5/8vqQzY
sv5wqd5Zo+l4FjUV0rRPohYOPMZjApalt0X/X23STqsCaIHUH0azzBztm3EZOzrSLwLf9YlY4VCz
n+bSxk4xFCvmHDRv8fPQaibPpObqOeZ4k5thdB3iAF8nbgXeryn1fUskX01sI8aFxwwGPpuN1Mj+
qDnHPmWJNpF6LAd5W8UFa5gqOlx1egQs1mWEko/JJq9FcSx8vbq2Oz+5bkix/BR3A9W1VlenxMjF
ZirYAptabfTyy9TH+oH8jh1AVSJd/Zj23GDoj9ZQjQcXgdUuN3MwfmOUbFNUXmnjt7j9KtE9AXfX
wXFp6ZbkDxdoqUw2TWxXqIHTR9sJb7ppuKAUa2AKBUOuPVlt6V8pJETHKfU/trPQdmggrhpEkcEU
O+KUztF1UeC/qGnlBN6UwlTrkp05MAfsPfdZFezPHDFKXM7pkToN+lg/3cDcsrct2qtNB1hhrcWm
Otb9iNmgo9YKSXOrABtux0aH9lbhzhiPRJrTkWzqgGHqSjBDrVJ5hE9lryJTl1sCgsagjop2m8yi
39FEsTZiANbGvsVwf9KrDT8sXhIc1MFuHP3zEDXRxokGxRTAUBPNoeQydL555K1B+9hdhZOP7skT
dCXj8WHsNRTLxahAy1g6HfaOfIihpvWpIbUfIZc2kU+rn3sSV1V843coVnvTzE+c20gAgmLdek4I
2djRdwpN8MHCj7X2BOGQkp7dGl+VvfY7Yvn60ZwfOBCRgAZrsOr7dR8Xh9lsiGJEHoyUiad5tJHp
ANGpsOgA4DKzbroaolinLajQKffFC26WB5UporOFvZPs8X7sPYC3ClqnA9mfcy3tAaU65GYUnwqZ
jDTddenCSM6Fh+a1qymoQob/vr23uZurwiJbwf5Qli29dHPykJqSJWjmXUrOParrME8J+5Ec+Fwv
3aGRvzNKXb/ScA6tnGEcgjEH31rVCjJZVWf3qK+1YHJdzifW/dIlDDJvRPqAmnaVdenZ8UaIFDFH
CWwHaq0QqAdI/XbaQPCfoGqzHMLxBP1Z2j00arMDWvO7xOMcLKfxQY3JlV0na6Xicy+NmiM6qkTY
s2P7Yc7ljSvRPrl6d0eSsvcoZJZscRVuSr17zshYWBMjcY1iP5iK8qHVEEiN/lbGxRfC2TaKEUGQ
u0ZPhdvGaxqqZ39yMAHOWExSieDTx51l3IxudEzDUtCXlpog735yt1HolNWqMqv2xcC2w3Uv9fsR
uUwrcnGntQgwwwTWSen345eecCQY3YxAV4xE/ec4xzOl87MORMOhbczRwcOJZvIcyhoZ2qTQLsYd
ZAVgyvumxoUkMoErEFBK0BSZffFCQesCddl1qstun8MxPpqsixS9+iP8a7FMeYerCdnYQ+OT8zAr
OmFmpOmAyAxam7lLW3ooXf2EG0A/+LJr7iTGpNuhM+t9UmHLISmb/xAdGjMvjrwKmuyJbMybepqO
jTCnje1kD1OZqiOSfPaHzEJGMwODr11cXChgVo0gkUsToKaE9DqEg/SKFLIfhO1kGqQZSVeQSJJD
tJTAqdboOzS6ycbV6cv4VWs/FVRQbjiz3gERLGYv3ZeDlwYChc6eHAnS7o3q1Y3KPUYNtbMd3L4a
B6Z96yefTDrzGysJL25i0laPQ207ctJEvYGCZ9BS41CAdDxzRrv7Ydh6+91l/I+yQzOYlKr9z/+g
qHi/4TNFFbZBpedSRLyjVRiaFRta1hp7LAeXKkHVXKQELCOVv/r9Bxk/j0rftuqfPuldaQEUqIwB
i5v7PuqItQz9b8aMVJxjUYWO1HlxBE2L0SY50l9W3toFPPf7r2CKX/xYx6DGAecE1dd9N631qpLg
83amb9DDeAZpLTTy2VqkIblL87wBB5RII7tHTKX2Gdqbc7isJDEiQ+YYobyCiEfGVlsxpUubS0by
SMDMbCE4EIZ7tt2ZwEW8KkHa59E+CVW5F+PYbkCXsQhin2yk7u05yrzSgcNbTlbYumiKC99DI0Vg
yVv670H6/+a9/fHnvvOVp1ZOgm5mG3vQt+Fd24zmeuJoFdDunP8At/gZRPL95n4PdnDBCjEG5sr/
AMsyBtpYijiWfdK5r8pFvzvZ1mdosWXQ2PXT73/XX4hy3EGM10uMxPdPW8zSP3yalnB2H6tU7O2k
v5072/xo4pM8pEP01Ug4YUonU7ddnMdHT4l5rzTUbCIjWcBzInXtp6QUcyeDltcwd+S4TdtOHenQ
QzYeuyJIEm5hZg96wBzZDsRUlbcQEAFlZw3TgtHgb6OTtmpN7TQuRYlcyhOLOuX3v3P5Gf/mArxd
VCp+CK4u2C9+6fI4//AzcQs4usY+snck+vDMCfV1YeLmK3xHuyUkAN9KJ/PsD7fyVy/qTx/7rqYW
qmJxq+jcapa9QPjtr25msDM3YYbkRteO5TSeQ6aSt6Bbq407QNL+/Q//5VdgUcKgT4aYx7zo51+e
68bY1kVi7M0EY1jLlpjY7TU6IqjWyuawXDt4rXXqTdP5zKovt7//Ar94nDFZ/vvz37053YDF3Cgj
a6/y7rPZJuNZlaF5LKTDg61Ff8jJW04K7++z4+mYw3XwAvzvz782HggUUBXuG9ts05MxZAP6Wfwh
v/9Nv1jpuZ7//pR3v6k1EV3kdmXtC8XBf+AH0p+wNoqO9B9u368+afkpuvBsTqt/WQxqvyvn2dH3
czggHvSMj7njH9hn/vCLfvmY/PhB79YBzh+dImTSYjdhtJwM6iYVrrXz8ZCj1e3M+yxSDorCpTxG
m8xRoFb1H1BevzgyW7ruCl5RHd4DZ/ef714Yj4N0k9Dcd25a72emMA+1sIwD2QnmvgaZUNV+FkQ9
M+eknyjfoliuXYm5BafoswaueVPjqJdLdVFeZVHx0WlMBmSJ+IAEofrDgdn868MGI5qED4+mBN/Y
fvcYwDDOMJY3fDWYawiPyDGO9WRHsjb6Hm2+Hn1n3KA+2HctQSoY4+sVh1BtmwA2B+BYkjJPqHPQ
9OWBMjXcpAwcipozTasxieYQ8VrXQ3TQZUEJx0QYaKVE+I1zvZ88elZaojb1XFFb1aGkG/kNGhDp
XYMsQEj21qlt2+8lzv+X3j1M9bf//I/nr0VSBkkLGemL+rHrtOBkQE39sEoEz+r5H9/euLTn54I/
+1/l1+fiufzHc/n1H2cS0V+em38c2pz/2/7yb/rewfLNf4I1030HLArQ0zfl3fcOlk+OMVw7ECU+
jWb7jaLyL02eYf6Tf7MQUeBBuTrHjP/uYZFjbFsWEcauYQud/+JvpRUbP2+bLqFUBhhjnXhl3We5
42/7adtketMSIIQEJx5IAkxt1DC1R9KjS3JEHDb1lmf9lXWhXs9+9kJiNxVnpRlr2aMzTyoMRl7Z
BiFT1HU4JB/6ipf2h4v8i8Ls3cL19hU9JjS+DWbZ52V89xVpS9hoZaJm5xWwELXZEhtWBTI4Yv/U
E5IGaeXstF3QRoQSZQ7u2v+jLwCeTnCpXAhQP18jTIC1N1g52KuIL2DOY79eIoxWZhJuYkl4eIfX
dtX5lEUIgJmS8T1+/xV+3iS+XwJQobph2aCPvPeA69bC84r2Su6aLoLYYrgPHQK1RP4phPZdn+5/
fpDDx1igu8V7IikqulZN5MztygqskgIzvnVV/YRL3N9iWEjWEx4lSkY6l/0w4N0M9fKkjeJi09dk
JOJpGxOR93Ob2sOmGYV+Z2acwpf3YufbY3PoymraNYWVbbSa0wIdd5fTZl1jaSHzi2ofnXQnbrGD
I50JuZCTdD4BGD3oTesFCNPCY1Qiu+TsOe1ae46vp/AR3x9PawHN1fDsrTUO43lss1fDnLNN2+cv
pYbJnQAm8ur9b3Rr7oB2fPz9HVrKjn+XJcuF45XQictYZLcU9csd/KH8dOdSz6NEMoozwbUjNPuU
wsr3LDxFIR5C+BD0n1zZ+38ovt4Db/lgizwywH6uCUCOZeTnDy4YfNQtfYCd18b5BjsqEwxvVnsh
akQu+MzA7889CgBBLsfEC10iTFi7XskNzUexyeNo23mtD0iad8o0RBb4Ic3PSg4TIj1CvZf2PPMY
rRR/KEmE+MtFsxx69z6gfLCH7nuEqN75Fu7iON+RZFsGkin5VRRnNepb/45eVLXJXJXvVKiKcz2S
CWsah6WF3uX0AMPCOXxfgKxxW9knx3WgsLR0WnyNH43Vn8ZFjkiRdt2Xv3uvoTybAOEYkzMEeA9r
VCLR9Kbnaw9as8QbsSiAXcy+X+jGqf217BSqLysXf6v4XZ4yPtkSAGmBLAMkf3ezO1GENEGbfBf2
bb3uO5+2ITajP5SkP1c93z9lgS5S8vDjWHB+fqTKvMZkiFBkF09uucPIkx0JsX35w0V8TxV8+zGw
XgR2UKQ1nnhXXJER7GLr73P62/lr6KKqQ1bqE2FUmviHLF5yXxvYW8DTkdA7c5Sz81cjsuZLDTzD
LruYfWfy1wb0jXXBSWcTz5G+z1se8iwdxJrjV4J70nvQHG3aAhk/w2FoDoRU4dQaGan3Ru5vNdQi
GPx0sfEqe6ePrG+2MYp1AmIDswr/WRvbxonBEprKLtd5PfjzlvSw3c2Qf8TMP2FXBqUEEoyJSuJv
y04rV7FPzqsQ7YcR0DrVNI2xUKUvxZy82Kl5Keo5PIY1nmTLTF8b0VV7Eg/9le6Xe2309XXHhH+b
V8lrE4UeicusubSAmZ2TObvyDJ7vMmrJu6jzF6fnGbSy6JGB07ztc/8B9jtPoMr43ualTHwCKcha
3ZhCPRFh4a+HZfWG39V+rBehgwWrKiAVWawzFNZkNKTWs6FPLMsCf30+JC8tbt3AlFKsIycnrlXY
n8tGpOuoK8QdDFqKB5SuZ5KktI2bp69GzI/uI+UFRcH3jZS6gz/6zcnYPQf67tEw0Dn3WLiHrm43
gHgMeEizosejPbk6khYrBA4ArYDEXgwC6w6g0pa1rNwhknhhBFWu7EURSpS7oClJn7KwipOd1/ep
4T/Itih4DRHnZqEX7yh+TDYWbLm5ya0p2+bOSXAEF3V3Q4GxC93ypdFbRisd+FwNmsLGH7mbxcRi
2cjUWXu5s5Uyfy39RjCZ6q+wLV3NRfaauySB0R9ug8jih7ZDgUXNvA5NnkAPG0OA6PachZWA58Qe
gPwxQ62D8S2sec6hV2mbCc/TmuyiGoFz9qpFGk8sd3Zyo1cbygFsLWl/6DMi+srIY1iDESAAzfuK
KZyHIGa1BvTuBQjBTkjRcBcRLr3O5+IFKVx+05E7vnZ6zbung73F//5Cile1jycdh33oPuiKTKOG
8vTkpB211XJjqAzOrdOoTUbLfP327E4Djw1zdiyZYa6w9ycvHjaFlR2ZF9PL/Z2a8hcPocMq4wk3
6CNh6udZama+d1iOW9Ab5Yaorh0Wiofap5CJpY60ZHkFCp4wwzAvFO5tYC+xZcxf5uty5GZ1yVJt
aPx9VVGbKy/mCTINbn+r87qQvcPESfTxadBpDBpDCF3N46GtVPLy9sX5ulQxnLLxi7OncSwlq8Xu
2o+dP5CCqHTW65rhQe7G9XXl+3KDFE+s3Ymgplm6B8MBO2qDZcUHCXU7HftThSZ3nWZhuh1VSNwK
C5jWLguWa/Nn+B08unB1lxuM3ukicvlU1VwLZ0xfpcO3DmX68rZcdG72qkbqaI/E4VWZRnxAi5Ze
5ewgtQNUpzEU+XYDF5HDAPXQTD1FleyuepqVdKvTUw7BIcgkqxILVbZx5vrJFtXpbXfCtYFhkLyd
LdkF4VE46eukh+Et2KItOFVUHQ747qYt6609wi+c/K8lDtqVyVw6KCm6VrTxH3Grs+Rp/L09a23m
VFyQ0d41bv6iqK+W5WyCy7mKc+f8tih1NssLNvGndOS7JbiGRUVnX+YAfly93CUGr4rjpS+TlqTY
yxqssKQIfT9NxEvB4iQm8YBsO+BJzm+/ELfz6/JKYPC8LFsBSMmLqvlib/egFv45IYeBaQzAlmw4
eVGKirhcHht4R2jegKVXRvMEwMg42U36mtVRTreZRwVJEOyVZaXzLBYT/M4P1WSzojqzBivZH25a
vNIbvKH+KuXNZMgw86dA6uxRk4dHtdwdxIk4IsiPnaMSn2vKezjW83h8W4mTcSnEnCiHu0HUFXs8
5JvZe3BzwtdW/AmHb+KN2xYkAlUMN4Cgczz8VTdvURkzccWEAP+iZvtpWRF4hvnrl33FzPhS7VI8
Z459MZpwA2po2pkhBl0MSf16ecLGmf8S0PcFym6Nz5tbNVQ8dHif6jX9QR7TntXH67k1pk9Bsdxd
AsBAAvCGuzGrPqegcicj/kLZcyp4W3/zZXUMkZRhwDfMlQbPZC8Jsdose1zj8wFEdfvMnHmB3Dk7
OUiPEBmw3KS1kQVv5XCXpGS7o6m71sJ8ekQuBVgXJwBKKoorQg1f3p6VUhUvqRe/lvP4EOrpxIbR
0BHpudTLbkNSIhuj4hUgcJdsSddBUUcWGpI70pfwamN/FZhQurqUW1g35KI5TXIellxt5h/U57a7
BVtC8lZdseFNSp5ZJeVVYsXqYA0lXiq7cFajGY9BZ8z+NusGb4N+CmS3RMtatcM0IPmymYnXc/SC
9gvoEvFtybY36n6lvARDj4vplZDi10pWT2FTqu3IyeqL5mfzvQkV8UovYSpEtbpPCT3dcc5JAoGu
9onuPqqJYiKUyzUxnwLfC0xz1vfAP7b2zDGJkJGlNKh78vXs2L01ukIROD/hEBkW/N0kq4O3HOCy
mDpZzs3ZNGILSdVoHHU/eum0fAxSF3MsLS8TFSz01GzQ56u54XWqSxb75ZhHZFkWxAbTVbb3dkvU
U7z3tUKeSXEmIGyhwQ1VDkzHKnQsWjiQCNSyqFGwqcdo3Mg25YohIkPdTsGmerteGbLMATiin6Af
eVC+fCKikbTorp5XvelA3TNh72CFaHfE8qbwra2Qj8f6CocrDCyj4+9eyIT4xbpt09nHHHhElEfD
t0w18Z7s4RCNdoi2VzhfGJVt0mj6AhCAU6TBoGKJW1yjtcyQPipwmQILVZqVyQrMLHGrVoUZBT21
g96MNn8ap2AfYFT2EUJw3bnVkP3QkqZM1BEdQCXdYBH7wtj2mkH4VQJLnIdweDT04Ui0l7fykqJm
Kde+1Q4PnwtxkNG1IfDUa8+2YtVNJdQSNVuXCGkiQT86FgozC0oQq/BmuhY8haHtZRLj1BgBw3rL
yWcm136lzyxLSZe8GmPlb+MFrmSErDRVGU+PprLkcodnzALsQFbphK8DsJQ1nuD8Qyk768qa9ade
sFRoRvsE+JWSKpMNODzfYnmDAA8DB89PRREc40XYIpVuDjpnuIwZLwrQt3Xc0rITGVivMmJx0A1b
bTToNbuubvhTy4kejQrLgclr6tUUMqVuXIBxoKEtE4QLBc9ttTyiHJh31jC8+H3n7TI8W7HHExMi
915pJTQ3TCGvy/fsPf1i0H3YtY7BsZDdeuVTZndG/JLZ1ZOegbXsbf3SzqAMFdnb6yFux6NhxCQD
6W7H8DS6xYB0qifjMwdIucWZ2Vy1umgeOy37lLKnRQq9tpj8I6Q8c4XdNLtOB76NR1WF/UdRXS/L
6ayK+Trr2PF6T9XbwfYezIS4xKk4UWCMt7M7NlSB5nXdUNdohg/jInE4N5LpqMSAjWUs7hFcbnoR
z1slcn4rvu2zNaTxrd4Y9adE59qXlMkbI3MP+EqbK7IZtT2ez4oCi2tKqCTX2XI90EZlQ8RtMjwU
EkcOwlcKz6V5lURoEqAhkmDHuhYSxrvJZDyeNc0U3crxl0W64LTS9zW1d6uQIgzUmGLuIYAkKSjG
ptrnkbELdeKGUGK+llr8GrHbNw37EJ74c2TyPd92dDVyCFvKHbk8qxGPyTm0UBxF1AQcrsUmNScN
bS8fYC17ZjlVebFaTi3zSIPIJbIx6KLmqcLLtO6HbriJal4pRkPcbBjIO/Re4XGiM7mQjMebDEfB
nexg0xW6sdFwScKEANWZc6IHWMQzyfioPCW9SRlFOCbAOd84RQDM4E7yDIMGmz8XBKt+bZIRQwiS
BTogxLb4VRetO42nyZ+AhuRDy9/SFK+gG/WXIuzLU86u9/b0c97EWkGqPIfVV5oQ/KrcufMgFDq+
uAAG5agXsnOlNZ4GGlW2NeNciPz+GjMCjc1s2QMjns+uEojCqaFYFKL60oB/ZDPz6zXzoXQt9Bjf
GssYzchsU7jo8jFtHjXAjqy49dUk5nljST5+yj3qVYsCK9HETd70JNlY7rDS4sHAuUJXiqedLa7j
FvWldXnbe/2R9zS2woffH/ztX7UXMD+j3ETNoetLpNuPrbI+hYUTpVO2gxfGQdykYQtE70nWNAUx
hc7bWTMyfgV3Wc2YYGJRdCw19QdbfvRk/aB7CUGQMQfdpczoXF3bOK77kPXRrS7GeW0WrrZHQEX4
7IBNvB76WwcOQyA8RQGsose3RubbGQnO89dEFfGrM5I7guX0gikTfr6mjJNwpvHo1GNxAvtCQdcv
RanLGQjIUcJ5KUORomxqL42RzNshrDNM767zwA3h/C1bibwZ2wJPVFIhsDLzwI688JAZxvj3W+RM
BNCjIHbFpu+/zyJM8yQuordw05Yjh+cO4bHt6Eg4gqILVdGH5G3hpY+/Rom2nJIoGn9/W//aAIUL
xjADrpPJLOV9L8/EIGInIut2qQugCFhVvIfFyi7kSCKhtBTAj4MTqc8T8w/tKuMXbUSO74y+iVCB
V/DW1P6h98qbbXQw2rudJ+Hk2SzqUM414y4ZiNO25pr8bwQpm1Cf0XXZ6W3VF/29X4vdZI7G0+8v
w9KB+7kPbHEHCLUxPdfl8X7XB+5Ep9fYe7MdIAJtszQMYINRQrej2jQ2qMGI1fX3H7n0yd59JP1R
G5K2S/v5u/b2h59vlkrnuBl2uzY0vU0uAT3LiH8yciTubdNDLdWGALdNjvq2L/a///RfvM3MCfgC
DEnfRlk/v80FFxVblaZ20qMYy2jorEsOFH94wn9xWekyC/gRHn3Pv4yp2E0FQmwiRmYjsdbdjIqi
ScfP+BzPrZ9/mhQQnd//LuNXP8xcVOT0tw26+8tT98NlhfUTUZYUahclaXuFPMnfJspqDiwJtHIG
7wG/ESoXne6ZcKKXYsynXT8aNaBFiV+tT77OfzMtaemYLnNEx9YXncdfHi5cIU3i6zXvWJZ+rmp7
+va9+M1Sarx8lOc/XIK/jp0garhEbiGoJ7bhvd6tE67mhFhYd17inhsh/KDUoDZWQIFIMmEDNnrn
2crTxxovP+m6j01CCkifDNdwF74qb8DGZifzH0QEy1T23QNvEwVMNA+DUxOYwfuBIBy2KXIj6Fp+
T58mp3h2JEsNlHm2TCEOXSVPMU2yj6aq621bcYu0GJdsolVPRjPSmKKOQxcjxCqpSuh7jnkecKOu
VJp+cdq9rZCyzhYliHIPZmtekEe/dlGMeSvqUmKzI8iVdGrcOUI9WTJbWqaOWPkR7up5urYKhTHO
XM7Wui5WANOY10O75dLQylrGdm8bGwbf5vD7Wyb+em2WSbKNxd7x8SW8n+f6Rj8S9abXu4hMOXRl
4NJdhV0rHwAH164kOBr+K62DAjpVD5Nu+Zm0ViGtAkyf/gd7Z7YbOZJl2y9igoNxAhr14HT6IMk1
zy9ETKJxJo0zv74XlVlVEYrsiK6XBi5wHwqoTEWkSxTN7Ng5e6/tubRqI046wiqys1rvtdDWmRIN
a928QAvetUW8nFbj80Z5dELj4rf72bsI5McNzUWPRBqShWFbxyL748qjl8E+ryg2KUqhFvqetqWn
Nm5KV2HmRoQhneKCpB4VGqlLjFCekJKDfeHXj/Lnlx8Pic/rRbYvmhXx4S1D2WnVsBRBfszqzBx5
MCZvQlIOzm8+yPx5p2F0iHYLSSnaGPfjTsMUBE58DmEsIoY6Tal7jDlbdg0R5G/50tLhcOlKJWt3
uZn6agPuim8GI1KAtC/ejrUEHBp/TghYv3AL7nsZV0CebxZW652x5PJOf/sCTTiN05w2nBZxd/n1
0/q7XxoDPAagtqujY/o4OS65uZoGoPi9bAtja+YiIdB9qoOipepEmd+E1th/Xe9Lc0b7qW/k21x4
v9mxfpSirZMrF1kE80QLd8/PxwRA1NatDaPe66L6ZvlzE/AY+LBcYZGff/dp5o8q3T8/DiWwz9zX
Ql7pfZhgWZVB1KJj1swvSWrK6mrermPJpTXjwDdimwYuBTUCbY4IT8RXxVI9V6AQTk5BcS/0+HMN
q+OUE1x4GLh4bzKRcTMnLh7FfjucUmv8TQLvz+eoS8TOOigmLHuVkfy4tJQ9uUU7sbQAC6NjauHS
k62eYfTg/kQrGxyfnv9maPk3BT+fxhuBiBgNFaLkHz80p3QYqwaPIGQ/XuHKElzEJ+wplZgwdnT0
U3H7cqPtjy3tqXPfolG59gzpt2thYQJnSEpaCBGDom0HuIRGKIHztFaMXUM1W1tcMaXDtduyu2dz
od5674mUBhcnk/HzrnPX3Syx6deu4xdh9slNxo0qgPImD2JBBxcTLR2gTHvIG3MBbsJQryYLYLMw
dNhJdy3mo9Hf2+uEEo/ZzTTSJ3mfbVQ5jhNmbl/Wm7CTdHzcpDOhiF4tDWAGjNkRuhuv4a9X3N9u
G46FQI2HC+pLfCg1a4/MPiXYNuK5k9cIYGkKcH3ZmTifNzSWK85ALrmJb36mbU432+YXXY4NvH8o
7mHpwC9yZ3pE73s9tklGo3OCf0e0tb3tOvPlfbQpaihMPtPaM4JtrEsw3L+bN/9cwHrsrxSvKE7w
9X6M3FOxYASr3HZfuhzG/YQOunDXJSHkcB4rvwh8bylehBe5W8sdst+cmeLn/dcziRq00LwghzI+
Sih8b8r8cSqrvQ6GZluZaro2Mvr9Xk4n3Gp88VjWdkEspcxw97NGMsEJOUFSZFPm/9lZSdCF7hZA
RXhNObuYKLkMgJxZvOpGf5bN1bOGcyF4nz/Q2jA0+nwRsR4ykurZrtdpgE2TPaUpudeLtcc3re3c
pU5uVDOKRz23of35F2qAR207wHkA/tG1j/03/sfQI9f0b6JN833pIbDJXMaNv3ndfq4sPJPqm0xt
X3AqO+tT/K4eHpjVlekKOW8YUrwPCAqxjoQNJkJ1wjJcunzcxNlynPRMx7JMxRAljwwP6hWJRYtS
7xFOKd8KOK1v8nV/a5x7AeWZuXj9UjLR38YzswgXk/v+19/9z/ueZzpUFKx7mGQ/3ZH6TqtbYHLw
zDyxNyLmi+tWkc20I9+7UbjQf7PrrRK9H6pUwuDZBywuZYJKhoPpx+eFFyeaVcZNkNZ2vSEBZJW0
chy/z2La919vz1BoYH9ByYFoBOI3c84OK5iFVjdUjcpCGzHLBqnG7zaPjwfl+zcH1M9iva2qofXr
3/0yndlLgWeX2T6RjUVrkO9hpozo1ylrvj6VXz/+v/m4dYmjVLKAjsAs/PHjFHYCfFNVth/t9a11
i4tZo6ASLe8Od8ff3Yi9j++qyx7HjoKiEyEbcY0f3lWpBqaNKpF7KcGa+AlSWSmUu51gQDBqApww
ZlQkSRlzZlCGHhJ7jA4QMIBUVMJ9GkXhX6dDj/Ouv2oxuoXg76GpjkMTjqzRLd2V9jz36nLvj7Oz
qbsyuSit1EetUjDdXDpoRAn/8WRQzjq7vklohx/TvjR2Vdo2W60yifX1vPrAHUbIQKtIahexTXyC
RQ7bFI07OpJNqOJG7AuMQGdoOTQmKtkVgHFSypCD7fEC8gwJLMG8paUAjLL4quSevFtwQ27z0gMB
IvkCIIjPxqq2M8amhxLkmbsij9KtK7mpRauDETK9SUcQvPuGtCQGv1lhnSFQtdGBZX66dYqm3JW1
wLWfKqJiClFmdMkia2+5DYyAhO9Bq6OY/u5d3YmrWCbmVqM7fO4hk6b9sxiv+ASsfedm9m8WmvXz
QvMowrD6ciFGhud96CcSb6V8LeeUR0HhHd7vPVaOaqRsdSbb1FKpWehXdUPiS1SPIrCgQoSgzfkF
QqXaeqojaSOFG4Ol2CV2J5dfcjO1wGM3DohwoA44Z0Q4a/jTSJxnEF6qcscQQQRrV2LnWYt2P1ej
uPDX/3xadVedNO9tF7XJOAEw8W2SjXpVYHBKW+83DaePhxeyPxYUK5g6ho1G//Cqs3MasFAIQpMK
nJycN7SIfrN6P26e7x/hojC0fR2LlP7hAXMLs2kExB6CgZRMmoH2K0kAXDNqyMptB4ll1sBu/nrL
+FgU8KHsnQR+02Fft40POxQsNyclRMTdNRVJAwy/FNw9vWHslhkIBhjpaZbdHiulR4HoYLr9+uON
j7U9DOm1QDYp4Omn0nH5ccuam4KcoKJyd71TA0Ke0pbfNhjrNF0/kAiIY+133p7d7p62Q7YnRHF4
+PX38K6A+/4i/P490CIHfwC41fc+FM4sG+WaitjE1Mm07TA37aEQwCuWbIWzqQGcfVLo7adJX6JL
HqS4JP8v2pad6YHycpct3DccQaNId6DgvGe9NXmUTUt1J+tdgRvvFpBSi+Pa5cfppHvRABm+cOux
eTRjVAlAngHajX53bbmga+Sg5b8pvmyT5/jDz0gBS8uU9EZMhhZn84fnnHSOaDhCdz2r6mK0SA3W
69gI/KEazt5/CB9z2jXMa/eilXyBwWMU+At5WTn0b2CgYtla9CICS0bxwY+ltwWoqLGu9RYXrvlW
o8U4aCDugh6gzjaJrRviJ62wVslwRuAmVli4VCgAFm/vQCtjqo231Sat114cUDROt6DwqdYZe6nt
itpctmo1tuM732WqaS8n/uaudgYkFjK+nTVbC5xozK/npX5cVGqxCfVn9tjzzQp41nEjh5OZuN2z
VpVff/3KWD+dtDxOmvBoKl1aweSc//g4a9+PwKwg0IgzRe+k11QAMe4iice7AoM4Dk5hYBkm7Txx
YKeadLyC1K69Q4atc6MldK8y5ssYl1lmaTnIc2zu+qdmTl3Gy/5yzn/FuRjWLLdJE+WBRhKhKbF0
9tBTvyxpDTsmjQDedEj27K4Vu8ZsSkR9pgo0p3rs87nfQVkHYTfiaV7U7yob8dNuhdOR2yZtIyJq
Be3SH59AmnSzQzvF3hkDh7eHR+HVnEaGYHzjESeoZ4Z95XX7DnI7EScFHvelkedGSsTTLIhtSiVU
4CKviockXuUdCcuOMFkb2I+dwvAda15Mh1xAeDsL4bK8IzOI8cBIoET2umeEs+r3xGsZaAnE3ThY
z0Iz8s0MoiaSyVfuOsQjMp86B4zvHmJEG6e4TLzrjnoylLnXhP6Qcx0vZb0txqnbO/QG9oKR347B
JC/6wEdOfm6Fv355/u7dYXIhaHqz9/1UFM5TIplR8u5gfXvDbeBdr2tF9XUK9zQeftPGdX86udZo
XguFGp1cMnw/ipmLnl6V3nfssMiptilz6GeEZfK8XmA96wvQfEuP0kvpdPLc9BQbnqL8MkYe+jQ0
VPDQqQKmiU+DH12AxD9Fiw26DZXP5JzNcVptm5l1PaRIXvmz8AqdZUtMShSolOPDHFnNlO1vVdss
N2aFmM9o4GUaVdUeILUbTA6n8iJtdSckDyLeSSTxD+OQq1sG/tHWMOUAfzlZAmGi08iEQYvLWZqQ
hI7hhJjLPzKRvenwxxx8YHlMK/0e0EDpXijcFadRZ1tu6ywjbYxvh4lpvhbiw4NN8ui2HThmNEkc
fWCbbgoGq2MVdhqEMr3SSQAp9VcrItUGETPjbAkDcOergrYzuem7hge5ka7hhJJeEBUoC2L5zQH9
N28LLwm9mFWPvp6SP66z1nGAbsaoYj2FKCe1eX4KTEuwVJDpST5Og//07WSqiCKdEouLuv3xlu5k
kOa1pbLJOSgoQGpWA7I5/4jmCHbsAo/t159n/FxYcm17t7Vy4WWY538oQTzkbQ2ZYGKHjskKE4Aj
NFg85yIpGESViy7PJ1+AwSN5ra56dVAt24UDpyOsCha/O5aMAkY3CojpSoGHcFDpA79qvRIKUYLR
7euGHyVxKnVbtGzXdrke7nakOHmS/Nouq0/zuo3ExDuguOalc4z8E/rFJkwdVKEpGZhwoC0Ckz0O
O9h5p3yQ2Y4pw1sDo2C7jPZb5uafTMn3roHg3c1etJzT1zJDo59orFTqHkQOO5XGzv9+tNYZpZby
YvmMosyCp4Xg3kDki0aE1eST/rSXvIIEAOX6+diJbl8562laZIjBa+qSjFiMoC+IHdLXtTqb7B+q
6Gc4y+xv2cB7vjS84plS7QFVPGdPxrbbZnXzmCQZ3JSSMzNXfEO161ZbOi7L1tckU4AZ//mfX815
33Gtajs4BNzmya/st705wl1GWrCZ11M3lWZ7FEnmsljYLhJjpB7opoWHOLVH2eneyWgY4Pc5/+h3
sXdoXVZoKfkjekwFUUY+vvcK8Tea726v4lZdJgYqIli1FecCP6YGbPdy0JaFWEqjDQnlcPZ4lPwj
qcc8u9z29vniPDiz+6VAr0uulTCPrM4BUmxmhexgvMX27O1JbaBkSSij35e77/D4UJryCRqnQO1T
6ZBPxhDdtzou7fw63t/2/zPf5/pBXypGIUmMrPcf//XXB68myh/+IXw3VN7039R8+63t8+4f//Un
Rmr9k//bL/5ly/yNpdOAD8a1kFX7Lw7ET57OU7JU6tMP/LF//7V/GTgF018moZyL/+aPre5NUAOW
YGfwLJNF9q9EBVP8ARmMUQj4eh1YyOpR/2ekgvGHT7XLRYptjL+L3fufD+D6z6qYZ/c/crV+Grrg
BMVZZNHZotdh8/P+uAdP0OBR3hbDoRxEtaEPWdNhaYq9So1Li+3omETDC6bjCZV+/82MnOgU2yh6
v3tkf31b32NR/PdBx/dF/Pp9mPgY7HVYzOzxQ81l+TGha1UEqShr4bASPyOsDOto4PQcTeeiOTTO
NWm3l32Crmy2WwalcXRKJTnhjbLu+wa7gQnT93EBi6uX51bK6CjxOqK0EHiPjnteGwTWjNTYwu5u
CMajiweLhPxqfav3DyMsgBnLISkyYVq012STXY0Zch+rJo/c2YHtJT4hviJArsDlmt33iaXClvgi
4WbVFhmgs7WdYSLRD4pVOPFB296jUbCpkue2re+BW+6yaMbjY10DPFhtX6TK82Bby+qepTNmOOcX
fecSWVVNVMhlYexsQN+zeaq0aucQkjB4T1q23MZpeoeD8gxHzYGpyVkpS7wEMZq35m6a7Bc8fBDX
p+yS+2m/ETE5EZOovIMFG5Q+/KXyljNnsr+RWnbw9FeIRA9uzMd37knZ6taJjD1YitCYtO1oms3G
dPk2EJ4Fc5+Fq0mjyoevSWM5h36xDHo9zpvpL9GxtU0Jkd8qDk3WN0SlLuedMZ40j3Y0arR8Mxpm
YM3OHZTvo9JvweUH9GMcRsjjXTPF15zbO8a0KU+LyMC8nEPEjZ0zngHLfigQCG10TbCr3TXl9Aaf
8zi1+suCWmimtb2RY/2Mg3432ySPNmSkF1O8LaIKJZ3/8J7pZ+PhsgQdLzrt6LXCWR8uYy16jmoC
Eh3rllssN1a3fzAsTg0DzC5ZQfoALnniIO4Jmp6WcWN0NjcyePxZlG/9qXtNLSILBZc8fcqfXV7N
RjoP3Kt1YtzKr1WjoN7Lgtw3QqZMxGZF2n3ROzg2kQ7kA2RS55Sha4wBqbJPaWHci+LJVWq5Sun+
Pg1Lcd5m4iaahmHvzSMUMrBmR2ECUx2yc8xDW6cpCWzPnp0++pZpFVGTV7X90AqwnAboZKxj+o0J
qnmjjcuxjtMnYZTjoYfpOqALXSL3YpiaLfovMrytKzHfKK8+MY0LWiUh5om5uhA+NW0PCrZ35HU3
RfCQ0+7A9REVAKRb5mt2dvDk9RAbF7AzA+Uf2xK4EtbcDdvBdbL64HA/P9VYSxcARNGShOlY5vT2
DHVqfEOxckiPSxwrnMGwtR4ut9zbNdk197VgrI0bSHRwVkly15dH3SsOwxol3IEKZzj2BKYmEBox
weXkQnU1i6NV9YLiVu+JP3UuCZk8kyZpEebykAymvSVD4iXBFxtkiY3lxcbMZtHlmK7QsO8Rcgbl
4rnnAPdC7ttfnEFcG1G6Lifzytd70kU6+4qYwCOzn1eCyo9Jb3+tMuOYchmgw4pBwKyKXZaXB5s8
1IucDuuuchl4IEG/Xc/AYIn0qxgtYFga18ohUanVefIIQWJdO3p1cgJFMJLpaHH1UMNOzOjKNce+
tlV0U+QpcJSyvk+8cj/ASg4SW8IYaevPle1vxew8FuAZHf7F1kyzXc71cztPFVWXenBhFCN9fenn
oj5Io5fUSd7jMs537jjG28nH/9AR8xJthkLd65p/tVjNS5fbr2Zn7ghiudDn/qWZs6dsdot9V/Nz
oNuZNQLXhzlc3MS8nYV263s8noJi03MJnOsR/fQ4SjYNinguFyo9uN54HIE0maa1X1T9ZmXFvuzT
T6RHJJtxjo5lLc0T6aOA/rBYBUbjfaNz8TjZFFH0XkM8xrvGWvWsAsddgVh60xrlwVv8T2aPGLdp
fd6/Toc8JPXATLUHs7IuVrNdyAq77GbjifBtxpu0CAU56oFetJ/SzGVhFAbBNuMLd8NrfBT32uhd
6EN3uZho+tvUxTyO5cSs4uMSi2+Uo/YGYHO+NZL2YuGxalF0yoZxp4gs2ggCFqgpuV2RGO8FUjHa
V1MUkgp0ztI7dkYPTVpo16oekO/KOEOZop2EDlQ6ick0rWowxPktTjsMXFp80+b9Hg6KQkPDk8xC
5biAZa1jtYizsR0pfs8cuWZNe8mh0roNmdRnjv3SW9lDVLQgBgk5mXtCsElBqtiE9CradTLa18rZ
1tWrbMvLwnefBmUcp9zfdrk4J7H9MA71LrLKrUF/IaDjeNSTKSIprNtk7l0TjVucLIc5uWyq7mku
GJKM+QE3EN5H45lS7socBzohfswAfJ90EdaZNjosmlwv5OreibpPKuujjRSQhx315PmKtHUU5ZhD
S98ksriHSXcxLcRLEs+EjF/daIt1mid2LuJbNsCmVla6e21P8ls9n8eDGxKweSWnN0iVl7T/dynA
NaVbb1TgXLdBG/a5cU79hjQ8eUvM8quMxZXldJeWow5JFt/r8xjqxGVubOU/eykml/6toxJvZrZO
MthbW13azcQirJ5ZIo8Nod9u/kpe0AtZMK8x85M2Sy96vb8ivyKwEJMRKSNP9AafsOLdKAj8LsCB
HmvgXBdXhHS+FrGWg0IUn323uRx681BN88mNk2LbpVaQ+sahsEijNPpP/dI/Y5EKc3sBhpZ+oR/2
ubDmc6lhjojAY5o0nSookFgTW1SVhFGRkEpsRHIHltRiU5DMjdiWSXCU8M5F14fdVOxH67Sk3nE0
8yvdT74N3hBa8Anw1HJ+VnSUJtT5YHRkpp9wDkEc9JuLWGQ3qiQmcXFu+2IIJLoxks9f5KnML8z2
IUU6YTXarm7Ty5qeKheqamMNzHgT0oy0xQxLyY+VXtN5LnsifqbxUBXtV4RL5zLJDtPqoyXRUcCG
xgqZwyZcb8/5uZgYMbnOo5rUZ3iFUdgJUWAIlEi+tZb5egeTOy0eJuALN+PiGwFUe2Tvuk5hU1UI
WQaieTR1lqV5kHUmEilhX9fSeeEy+MWM+icoEHvEosXGFeqRceShGlMSqlSIgylwQJLGE8XMcj90
zMHYeDENB5Zd3DY10r2o3c8GGfSDFpjxaRht7NNyuqDVCqKiCvzxLZdFgKSka3CIMDmMOgLc2zNS
D7ZO7gbT7bTIXdWihS6vmgjzpIbGABie5PxIuJf3tz1H0XamqZqO+8V/iF3zKR7126TX2Q+8fRLf
Z0m2Rxd36BNxvTDuqVV/MenFzWBcFxYvEMatJXnVdLmZGiMjlNnezOnncewOzmheJDX5kloznRGD
ini+cd788lGyNucqPqO5h82oOkQ+F4m6QeYK13aON7l376Br8kT3ibDuDfqNfmtHerLxqB96zX3K
OqsC0PHYEKC0NNqxN88R62HQYssSlKQk8JyR/X5nFPeDTQLDLMagb7MG/yvyJDbr4iHWSSEsB7wS
PlPhHtgvpWW7wIYss1PtOTipbAn1E2XFMYosPH+68rtne8yqx6YD57kkROoMeTe/lV3nXfsp13qV
WcPXYayyED2VvrdtYqM3ixMNAdb9wPTsKaxsW//ilLm88azCOdebmMQfNvvi4Jt19lgxbQtzo/Bv
l8HiSWqdfC2ohg8581HYvNz7ww4fyhnqRLMPpJ6RsATXntzR5Gi4c3xwldC/8ZHeF5p0y2etAPFV
2HOHaSY17iqwVeBM4+7Kk8gL9ZJ8Gl1z1R33PepjCrNpM6iyvWmKzLoHFTkFms+kfk7leESrRQrO
IOJjr83mzsVmfQ1wftpGs+EdY0imGX5OHNl9VTenskrjkLOmDibbX44a7quTWbrRGR3o9szvXUg+
TJrAFCif5w7s9tQxWg9Kcz5VnomfO5719I6WufuoK33+Ulclab6dE+1i4nSvxLRUL0A2/MvUWsPT
G4v147Vx8dlLnf5Zyy173FAap1di6Ox720/lLdSJ+aYlqvjSGJV9O4h0ulLk2J/P4nEgv7X1BrX3
l266jSpDPGhCENxVkij8YnvauJsIiUPYP+U3anB7XJyLewHetXslSMg9FFXv0c6fps+pWsrrPh+7
axsT9VXeG+mxSKAa0AJfpxYJ4XeV1++MGWBzTF2/cayame+wAPKPTCOoRFrsfRnXewJ/V+HlDFtV
xhHt3nykaWZJ+8lCGBwQ9Fy8pnZuAirprYMgH/CcrtDMnlKSYpQn19X0OskejrC0g6HL5ysTP1lM
stk83LW8mTOhou1c7AnVJaGhWb7Yeapx4217lD/RcB9pzoNXLlcknbw4SX4gR+AoUfmIBZqs6JKD
5kznTZISdzc6oe3agaYTPiE0P7Rnzl/dfR615jjMKWQJQ3x1cg4zM/0kUJnMNGuZq+5IMQ/xPY5r
orw9IW4HInjpxULfl5F6mszq3izFMdG9y1z0GC+XQK6hSFW/HzL60urRMDo/rLX2mbGa3MxxQkVZ
OPeDGB4i6P71TO9PYydKZHYxT9ox9mYmNPFwrI2G2DcgjYeiXCfLi3k1e/0G3VYOSroM/UaemmRs
UU9QlLdJgs5b7AbV7cpWM7d12PZPPfrsrmrPASlvcEXt4rx8q8v2N0NZdNQ0Vf7d7GDIbiObQZbs
oEKmF+1/aLrgWqdisp3x4ORPXPOT82XqpytCXAh5N/L5THfK5nKq4uWG/UnejpCj7w2sbVeKyJ1x
0zrlQILCUHx235dKtq6aeV0/9rqS5LqmsnV1Nes6M95X3Lr2qiXO7kYLKuumYmn26xolGro+IeFb
zvJ1BUfvi3mKrRZGTqadxRFrfV5XvbeufxzZcUjYQ3Mq/Nbf46Wzsg1MK++YRtm8LTGPXzNYM3f1
urcY6y4DLWI8xhE7j95FU9CI0bp37Zl9yWipz2Mpuzs9rdo7vWoLUvYcdVYvqruKF25j/rrTmRHN
clSxOo+LfdBed0Qtroxv5rpLqrlLjrKuNn7dyDB730z7dV/Vkhi73vtmC+4HWn3mydeyps6o9dm/
FWnmhxK+5+NgSS4M48j2rcvROW/mUd4IvzK+RL42hQXCTatOOeTfD4GqJyNjXE+Gdj0jovW0qNZz
g2j4+Y003D5Q66lCP6d6NNaTBpELhw6/zeoYQ24Im/VM8tbTqV3PKUYw8jhN1UW1nmFyPc0IcXxI
osSMN97SLl9pEp7DQPLhbptG+ziqQn/25r5DE5bk5tNsuzS1CsJJX0aQI6waC6hzHdOAyng3w94Z
KqzfFHAmSk7iKMpLt81LMjJlgorFlJf1wJtnYQSvubQdHE2SdI7YKfokChuoDKOBhctN1Rm71tZd
har2/RMtxT3fLbzW5ZzW3JKXqZSwsqsqJ68rdT55pMOcFymbxN6BzUzooyGoFBhalgQ/kQjy2dLr
m8HKmXrUCH+bHTmT1CXcFoK+0ciHGwoEtGnn0lWz6ykcmuZWcts8jJp4USWtnF4fuEks1JULr++c
r4Hr8xT6WnSfps193ski1MZUbdc0pEvcfIgyubB/4xLzpIHvPFm974dtLR6IpKIC0kwr1IshY4eV
HgSfOL/1Rke78AAyhhz00IT0LLl3iV/YMEBJz6Tj3CdGeu9hpyah3s8OpUuZ3Rf6WWwZcIcGOcmd
Mw0UPR0Od/zor4mh0ysxkjfSScBhNwsxaXTMQtOYLyDM65ux4I+PvBgBGajPdm9UZ0QCWjsClAXT
9crcN3OutggnSRpdxN6TFYahcoRND+hlRzOVtoquPuW9fkNdSFSkM5FfbYwPdTU9ohwr70YiIq5M
L5d70feDh5s2Q+7r1nKbZ6gcYbgRv6WRyGWlTr3z3GXZeGJod4PJWqs8+ppRW3EDi2eXkNz2dSwH
9zgbWfKcLOWrTSI1eUO12ucuk3LC+mDfLXnPa5UQ81kUU6AMchy6mkihNQAoWLkwEOBtseYdFpQW
tc51/trGjAaEjIppllz5pRdVj1XU8RueubXiCnaC1h/u+Xv2MbbsnGMXYf9D6znE1HZ2RLaDrx8I
1k1OVeR+NRBx3oNLX3gL2FC0ovzKLeYNru09wxGkIUbirukD4rKuGDpVDs8u9+VXpLf2Joerssma
tthSFUAxnJPP82w+j/mLbqcnhPy8EYAg5tK9XowKrnxWvjntcjsblUMp3GPYzjss8ZrnmoAfkviy
VeawtVI2R0Pn4jGUHocVs727AdzrA64yUshd48tU6VZoN+mDiwPPQH0YaoyjuRnXauPEhryIXet8
dkdJL5n1NSkOCRCLyZaG9CXwQ3jwvVs1h6QD7oCWTx7iMV6eU2+9ZMYWkasT3lci+tBMB2k3LK9R
khVbgqJl4Pa5FgibppfbpfWnVM7WMdYc/VyOfnrMO9FeRZXbXQ/4ka/tSJs+k4hO9WQ27mFaK6ph
ra2atcqy1nprfK+81hrM1PBGaWOlbaP36owdVzwAnptu1Vq89Tzx9ynD/9mE6vsB1T/+H4rQYR5F
T+zXaNJAQiFN4k9Kfk8i/fff/HOS5TqEgOvmOrXHqCOcVSn5J4qUrxCiY65m7NXy+F2ajqX/ARoV
ZT61jrV6bFFx/DXL4ksOFFJcZsi2DJTz/9ksiw//rqwikAf/jM8Iyee7gKD40dXXS8ct9CKdOWxU
81Ag+3tuXCM+eXRbOlxganohWPRzlBnqm6es8nXsW+rrQco+FO0IW3uoVOjahGQpY6jOhqIme81L
8q92HvdP//9lfJ/M/u9mqmiu/ueZ6r1K6l59+vAmrqNY/tpfM1XzDwuA4iroWN+p78eqxh8MMlFs
I0FwDF5KXpO/oLiMVW17nZ2ihISab5l86Z9jVZOYKF8X+H54i5m8/kfBTojEfnwXvRXLK2DOMqrF
c+zrH1V0ZaZp5CP1sLLFTNebrhAN5EMxFPkGctUzYs14M0wyD+wW2NJSdd8m03xC0P0MvFm/jRpE
XHYzfu1ISoVLVKxdOaffahohi1PXlHdZrbfnKwdhPY3L7YJ6AFVEeoPYFGU1OLMDFxvO9bi+BLmD
zDaZJfc0+7miUiZCdb6t6C8UNezrGS12Htv4rqH2AYLRSAq1Li08bxu70ppXdEt0PxluHigLHPqJ
VsSnxsNrwqwWRc0FSouBKMER6E7hxNeM1HwCOrEI6g1dIMNKS4JrOaO6VCxntVY7F7KMkO/XrihW
68n8GPk0WpPs04ibJaPLDb+6m7GJojULuYhHa0IM2oWennVqiv4WrN4+U5m4qNFikIBi97slmiuS
zH0t2zQGIrSN289keqS20b8ZvX/ZzrETGspybwQq6MCvZSibNtvPcJnwEDTlyU0rkIdTG3226Ocf
HGrgM9ma9RaFHqkpo+8eMxgqZ4Banc+dM7+qyZeBxX1oZUS0genDNaxLq/7cO752isAVHP2RfkDS
jel2yW1xWjLV7+yi+pYa3binI+NeKT3FUxCjL+xTw6QSqDz69q4IMwmSaPQbRQtsMm89rgKEfeIB
wnlwRSs8e7aq+Vl4tQTGQoRxu5aORatfiLWYrCsh0btQYGZUOEnpZQe38l/9tQh1Bv44bptZ7kbD
7cKBarVay1b+FCSlWsnzxM3vmY7du2uR663lbhFPyX0bgdcjro/rD7JO/DcUyEQsedxZKJqXzLfC
cS2kOypq14KZ4DIYOfVp88T76n+b1gJcX0vxxayIZ13L86Fu6U1EuOGn0Kkm0C1U8ula0g9rcc8U
cWUHiZe8nPRD2rW3xnoVyNZLgZNa7a7oq+5Rjwdojo53O8z+PZye69Ki98GRRK9ECmfTDvQ4N/4A
RXia2lU5YJkNsfFYK49lxHCSa4Oqr4Uz1aFha9pWqiy/8uEdhpVg2ko6Qk2Qeq+u4q4dzggqSdBd
IpbPpWQ789v9Aut+pURIhh2kjyK9Sm9JNPX2XLEgtdvtoxG3013hF/RL0X78N3vnsR03knbbV7kv
AC14M81E+kySSStpgkVJFGzAA4HA0/8bLKdSV3V3ze6gBz2olihRTCDiM+fsszf6uFz3tgvYKTN3
eTqK5yLL0zUfFSE0jhpZqmQ9LKJBiz6xABo3UW42Z2it8XFWkmyEaOTWXxlOa4ZD1L5VdVuGMT0Y
o3GGAa6wpytTadI8J8AoE+k9675zj5CArVu9jTBBRg4aoUCmV2kQjKhqf7jVsxk9ruYSQqoCKsaZ
rk16FTqBrM9X9WxcI7JlwoH2einJqy30QyhNXcQCxSXKOO+lD+akZu9kJgu/XhSiZPypu2SsasOL
6gL3aYgHb9/4KnrB849CSUef6Ix6tkttLzlgyVanxnPSJ+ByLBWqxrVWCZCy+2I2tBv4TTMdRZG9
uKX5oieMcCpXreKOrJ+6m+7qfjTfxtoYF3yHDLW0Q1KG4hX31FTNR58wai9gTUqrLt9GqxO3Xm3J
I/FOck8jzywsqpl9eUW+Neb4xbeL+ga46Qn7vRl67qqPWYzD0SEeRFnV2tea0zRGJm9uamWhmHKa
2THxTnYhsjs5R/U5MvrsNtHZOlT6cB7cdNwJu29eSKIaViyJ2UM2ihmwAnA1pMAIRKf4cWZz9jQG
fBuFVPN9lMzXySlFaPqATisl00OdDVfuIcbmVQTFTXfiL7Tk894otMd4avTNbJXAC82yv61y38F7
MqchONshLM30PPkJnKPYrq5OpiNuTtGKtAbjBzQ6y5gAnSGoSNo7DaL6AU36EPZa44RR6oud3uYt
WJseSYFoyIMS0JqIR+UUTp03yFhlGLh08XYQXEXrfk1NH695xhoPHQESC71GDTgyVLGGbt6Qhszx
EmGlqcroGec1t+LyPaDBtjZxCgiSZFrzxR95mwsSMDYABoIL/CnoseboYAjLCUf/okGSJToKWfij
WfvfnS67CDlw+kK5JNlq45v+7UgluprG3NIwTyXy3pQJanI/11aOlt2TdbvoHtzsuaZo3TQmgqBg
Tp5F6e4cTRahy51QEtwQfEJygME+qL9VEw+U2xWPY5N7+C8VpJRCv5nHmSFZo9bcdtkTVFKgEpoW
rNvlk/ZzFW2tkebSFxw9fVB+Q5bwhSbt8+iZET9UUrU2BbqbjYd8cNFlpUd4rXeY7dqLr8fYJLE4
p4ZLxhDzsDXx6GaIzAZZ71yWcLA8a9+NefuI7LgP5w4Igdv3Ym9N1auucQrB9AnJCdu4vfNFlWxW
becb628Y/L3BytlyfrEV/K/3+m/KXWtJEP37cjd8/da+/hIK8UoH9v/2r+Nbkf5L9fv+p/zah1kf
zEUfiD3Rsxdc0x99GHWsYaM2piJG6Gwujp/fql+dkhkgBeWZYziUpX8Uv/oHnWJa18k0/VWJ+JOG
8N9pCn+SdbP5AITN9o3ABUhKmLIpjX9whmZZT5BdVERElvI2ZtPOtZMtw16I2fbuh5/TX+gGfw6f
4N9Ocb1IphezCrrIn/6uWBChiTM0AuZdbaGC3SvR7Lvc25bIvOeg+SR0Z93Ll8Daat58G4tZXyfW
x4I3z0yn01RwqfP0/4fvip/knxrR9+8KWTutMN+e+zOfLKrTKsDwGG3qRG16pEGFK2Fpmt7WiNvN
TBikp4m126J8B2gZxGOoItbVEVsip8cMUF///TdEG/6v35FvEm7lWIxYSRPhefnxMxEM9jRAvtGm
m4dkZ2b2AUW4fW8HRnQ7JcQx1o5W3NbFOLR4H2bICGyt+9mh2s5H+zAn5WetLZ0rp0Nxsgj8Odk2
949XbtlWtdwp8rM3fS3oQ8aeHVhVXlw2/7lcTf6ISskBNhKvyNHaWB0qHOCRqLsQnsxhwzILx+lF
b7QwqBlb22WYFfYlyIftkKRHV7uXZnU/R9x74DLtBrO8r5aNdwjHnqWUeYzdaDc01blzzX1KrdG0
H5XQDhq5P/P4RStPLjMsnLfWsaZcM+19HjyPw/gyDjl0cgW0oZ68g90/Q8aHcDpCXqp2Ftxv0RFD
3sdXJDWpl90U3D6Yxta+o0DlRUcnAQ1uk0YYFYty9EGM5dGyPJIELVSsMft80W+bzFfbJXGWCU2I
rRlHBunfdnsZE3eLyH7yJMhg/s5CUrGPW6upVp3z4vrBMRPO2ivzg1E4KMwHyotxS2odRokKo4Bc
x0XHj4e/JrDDupH3Vetc+TxZLVv7oXfFapYjNgpAL4y/jeZL4t2aZXMu536Vpv4aRN2ykD/WNm/m
6G/0TKy19CGX1V5rb1Ttbd0geR0p4W37SzNVn7vuawkLLEaLBTH4tsOjFai7tGV5AlBa+N42Zawb
R91wQxRL/YC+53PsCe2iKDJCD+OxxhrlHoBk1a9jHi2zj1A6CLv6GltNRMYs+a5rMdYZCoSyeOtU
mVzNOa5eAyul7rKc5aWJlvs8Sg6etB88YzCf3NwcybONh09yXOhNVhCzn/ECsgAKPX4WdV4Cd7ei
lUGmOlrWHKLuKnIG8cAtzObW7bywb2eNDacE7s934U6vTquKfekI1ERTM8aXZKzTszVYt07budd2
Hr373hS/5qD975L8z5ckj//iRPz7S/KGq3FJSvrpWvz1634dCjkfTCK2sKkyKyJdw8Uq+mtSkvU+
LlpwXzx7nv6j1t5l8kMGB5toICgsB/6YT5rOB4PLjFKP25ZYQNP7J1p7xqR/PoWXNDiLKEVwcCRj
uN7PA8rZ79AOqkwQO0JEaum9xl4a8DK24iaxVXROC1b1RM2QYZajJofnu2uQFL9OtuNdMp/kpAkp
T+ZAgklqSYtLV26X/lMMbIB0moCJyrBAMxRkVpnb43VsiauWptWCeBqKhy6BAMActEWoayNOY2LR
uRfVcSL4TgqRjJTFfoyuAwwHF273Rs8jENRZ9DQlkb9tF+ONJ5wz+jL31SO5mq09y7PKZC3iB/Ol
EDO3huxRXuF8Wo0ovMDKyq3sRqLBM8K6WYejChqEFTaC6mAyvAXNqoVVIK9NYjNyCb5xT65kLc5i
wAfZmfeYpU5VW8drmDtreKbfHSOdjloSLUK+3J93ZtI+pPxsbwlUpQqYtXo3eenThJLJ1eR5cPhh
Bn1tnTPFPzm18hu7hDaoRVA3kbdYzoBAUa/ELp36rzTr80303HHmrLoG6j2BTEfbSIobJDzPrqPC
ohk2hU3ot7CbteGX33sbU3Dg4v5DDD/5LgTa7LFBh5TUdIyth6IWmOpKZ/cZanO219Rw1UxnRLnW
TU9DOjsHyxOkwJlTmObVRtVIpSeviRGixMkDrrX7xBq/RA69WNzZxXaalA8lQNi3zjv33pnxhsII
WSvEhju/x1aEb8g5IMpXj5ao7q28sfEaWGguMpGoB72IZpZFXV/vMATGt5NLaLvzBHQZPmLmlney
1bQ1dLdLrNu3CZrHPHdf4kLdwBhX636gkstke47b7qCBQtfpk2UMSpi4c+WolI+qu2nb/ntePujQ
2mkNA2vveHWxVkzuNr2xsadxreNZWjWBpa2jaaYGMZsbNepnskApGqDX+L6PbVEtKn9Uq89mUTMy
TPDbTu7yd2eHRtdWbVHrTxC30zV3twMrdWV2WxwRSB19aewa4OOlY7zakYbOwgi+F1lwsfJ5ZesC
jVhzZ/U+i7csrHLzvp0T49MIEEAH65dubOJxHgIXcEUEo35lKjQxFh7C2zmxnDtDzv02DYxkV+JR
/VrbzXACE5/260457l3RWPXRijp1yuzW50ZpEhx8ZXzSWIgckEoMB8KRipfMAtu7pndLz4mZ6Ick
i9u9QpL12HlTDSqi71Cy6+oTUSvw9RpZ3SWuNR48ryw+00d6D7ONhbTQ85yxS+meErcKTvi9XO42
Kbe9YSwyr3m6oEASj3OfTo9gs4djptfiSVAAbZvRRFLT1kH72jNTChsjGUFGB86FpU59pjqQVwTK
1o1jzMOxhyP9yciKgdleNQGgD9BMFG5+aJPAuZ3bKnmz7ImbsyMt6huuPka8aBuCyzzI9IK/W54d
8j9OReQbTETGUb/z/Um/l9bY3EAbN84ir5InZg8BtgCnPfOoeGdLk/qZWqHvVtju0QeI2tsZhVnc
0B/ESFd7dc2KRC//QzFvvY/qf1TrsFQyWTBwC/isDugz/lw750waK6ub44Mfx8VNbbfVeMi6sbsh
gBuhVQTpsTakXCnTGELiRMkgx3S7cQh72KCmfcLWr20LSzW8Bdmy8+6MCpBvqm9Rg3QI19P4Ux8N
gM3gkTl3bqlnp14XN17k4rFvgvmOGTc9feQXFwWUfsWT9OREU7VqKfX3wNjEmuG/s0qU89i2yKaG
QYpbd4jBjUg1RI+1lKZGeppivdt5c1OGSckfvGL4wezO9QhCK2c86+sOt9cEPorQhc0It/4TePsm
DamAqo0zG+UTVGv/E3C6Y1f05EqY0Io9DaR3X64VPp6ahMt103sEKOoFPkZBtJtFrqsSRs93Zd3X
U39O6vYhIi0GO7XeswNxjvAXp/XMGJawGAT8FvzptSczRTI31pfZHk9RW529lNc/TRVS7y7GxEmQ
eTa01OKM01eNdOOvyejIYzlKe6vhvoT26Do3lcrYBwRGsfWSPLuvZzcO6yEWN8MsvV0QYZ8dZobc
wKVc/SxrByHgkHVnUG/BZXD05CnRY/Mcp25zk9P63lcsMu+SHKjKGixQf+Kzns4Aa1P82H1wYSTD
8868qftG+Phor2jrkzdgAOV6aqNp2y5vilreGX95e8zlPRqWN6ro/OGYRJN1k2vldK2btDnbesn9
nHTjTc2cPgS41gFSEDiMKPqJV1je4GB5l8k4nx4jLy8fsZJOF8fg9sFJIJlQcQ7gDw5OakbbVNsV
0pamXJ6Dxn/AllF8xnAzHublXJmXE8ZezhpnOXX65fyZl5MoXc6kQKv1Q45s5VzGLkfWhNf8BSsZ
SdC5CKB/yPhU9HhJxt71X7PCVKc60tiWuLl3lwhixhYK23CiAHG/MoROdhMeZHT7qXvH79ZuhyZ2
1wYa302awnTBbaYWQ0bUkmjSzQEVSs7Eodv6QV4Y8Nu9TG6JgkX6jTXEFWsjtloF3yQR403pZf5a
dxoHqzDT3jk0A8SrCM6DKDuWDMTqF7aNLX2Zk9c9nAor7/dV3I7x2aRtYGrapXa7Gnp/HBC+l0Rz
tE2KO0yPNSxPfpKoOAzU1KCHm52Z+9pxmC209jJYq8usAiXdW7eWNpoXP56c66ThaSwCq9u02K/v
O7Llc0BCkdB35PkUxUZrDRADESsojC01K6jRbegNA8iwq9abE20ziIIKiLEwek2PY/PjXMDCXtOc
G5wtKssCHjGjMeB09uZ93jf8XMrm6kVqhtCX4WLoVL3uzXLfQU/dZl7/1I9nF2sPA1X9wna9vtiE
QtCYadGaGjVZQfKI1ngbBd2TIiopiKdQVLVc4UxlcTdmnzF7y63K5FejtJo1a3VY98q8i/RG3hCg
ZK7drv2Sel+wPwVHZbK+cj1lMibgGrCqxl5lnr7zkgrFnXGfoZoOp8LHaQVNKxGeu45Fq2+GxvZO
vTu5+6KK4Oil1pHUq/sqH7jzUsM6a9z/G32uvxZdpS2fEXp0VRNPk8g7rvOn2ajT744tE+K5EOfJ
oppPGauK1SRZHhm+rsLMaNR3NCg8g4DjawvvW69nYExSL/6fEOXtv9z9L/3av939X17LZfn/F23e
H7t/+wN7LVSPvg2y235XlPweiEuElUfQKxj3AG0Jk7nfpp/OB9bwSAiQGCJBRYT6x/jT+gB5HD2u
znx0YTX9IxkKYOuf2zyX4F0Dw3eABcCAIfPngsFpurLW9DzYZ20q9gpp/zpOgyMGUQvOWwza1Ymn
x5z8mZ0NKGUdJ/P0JLpee4CV9NLGQXPRGh+bbySmk4dl6r4bbRJKBIOX2aCOlywfTURhLJKZ7K+S
Nnq2TV9cALwdujYCNDr4w6nIu3sNczcToSn54mAcRkSflWxMirvMR2mAoA3kAnJihdmiGbg1aUfh
ELDpfwwULcYU9RFTJFVfOLOmJESMx9IrqZCTwlXZpXXu7bUysJ09auDpgb4u+ZjW9VuO2NIL495q
oFSk2efUxEcCuXOf2vZNVpKynSdFfpKw0cPOsklwsZHOshUO7WFRPjuSha0WifuMdCJGgc5eDcxz
pDCId0lxMswt2vmxSfEdJOlHzLkuItGaZkIrlxidTjYr6VjYHNrFoxNgJ9CHeNuaXPYdj0i+oket
73WZfZNOZ4PKjeAaJQoLjKFLmsFO/yyMiWUSoraRtDmy2sCbxw+jnNa9JbWHcfCK61i42q6QTlSG
tR3pV0d6Ps6AWKLqQCBIVoHBGIkmW3KHcZTmFqL/pUJNl2I1MqEH9Q2kb6gd7chGtWCAWdRJrB1a
TvZTPRV9to1mk52wTchHhJY66sdt4mvBaazQq/dmGxE4iBU82aFGHI9YUhuclcHcuOHoQDFaMQsZ
IwLh6gLblrBxrDTW9FyWUzmu/KDzWMh5DVuqkdScAAqbCu56j2ZvJRo7Jmom8ByOSxxTOoGRWfqR
BXJ7mfveZk2OLSRdx0ZEhwh91wh79KL4cYlaxywEQDYox1vHtjrjqvLex+aUdYTWgGYpvI20DQre
oKVwvs+QGid7T01Dc+QJs+I1YSPxHFKimETKyPJ7Vafi5BFdHG96Vbf1jrsRLWaGNubYv9uBpNEu
PiwZXMHXHPxcJ2wJIuMqJk6v13tBno6lU4t51OTWDdq2j0Xn3U3ZEjKT6iaVb7tPeppkp9UvBflb
q8qq7sel7a7th4F0NWXY6iZd2lhBRo4cmnMWk6GVVwc3AcfMhKNciK3kD6/7tuIjMyWUNKHEIdZz
6y5VlvbG4xxWMP/RIdyZPeiVcvKvut4Qki2nFbsKfRsI9Cb8U79b81X0Y9j5fA1A6o9CM7Nrp+uH
2k3SULboE3B+2oxwMpfmFc1OWuSEUmgRU4/uzncVbhCF2Fa2zB8cP95jESyYjyaPwhqTXZ57GReh
Fe+bxfzvuoJcaKVlK0NU3VrNs47GotJebRtDcuPtwNsmLJQruRrJO9qXvs6ovbJCzyb1jKkSjvnI
KKuLnmbu50DFD4QPpWGKuWknIzI1xyHb5naB/dny+vUwRN7X2Z4phwy1MfypO5tmRmogXoKE/MDD
6HgPHH2XOEOXbzXKPOYpXGThbFRWFFtbme6uCVBwIFrYsRj6VsDzZ3eh3uI8urUSWWFnAwpnd/6j
hjjqTfZ+/mWY4+8/TCH/YgVlvm9z/twfslOBk2/qFoRDWB5/Pu7LegKWmRrBXotBHycClFMwF+zo
46l2bhM0xOlamwenRs+Vdxe9mtKPsKWYMWDoZ00iXERPVNMub51bMRLPzHoINvGUt4rnMvUpY4yc
ALN0zNVz1ZbG11FFvM9GK+FXMVTxmhWjN5y7+P/QbE11Ox5zI2HTk2DLbg+t4XBYlHV0okocwdO9
nybYLTlZmvdTBm9xcZoEq+zD0CvPpFBmeZC0bUnfptvaFq1Adt9nGiOootG9Q9vg1muXpsuMEISb
fbzFLTmci6jbygCp+pCmfJqA43Q7kScHIgcu9OSEcizbgNOc1rkZJCS7xsHaLAMAU3SH89ImZhxn
Z7eMnF3TkOkcYPmiKUg7lBXRjo7bPFqD178ZmA2eKNerTWPBEdrkXQM3tcuBEu0y4sIGjFMpHm0G
XWno6lnL083ClP6mNrL8IVWdIU+qYelRZJLemexKiGjwcdhEiTAIYtyNS+/NwoFJBu14WrXZScWG
fTfYZAhiYYzLTxwKHQJ+b946JHqCDYQZywfaZLdjTY5P3DsDjNjs2haVeXT1tAwrXGLGhVlgjsF6
KS37X8rMniiis0DSeEpoFW4JnNR2HtIlnCKjtgOu1N9FGkLuyovjr1GT8rZOaTN8Vg6nF+5c85ad
Bmp/ZrRhZRhf7CIy9vrUCeazDvI9U7R3BbOGVeqYu0KAeKZTOHLbtejktJFuFKy3O7XgaZMO5KMZ
pjQkQA7Uue6dj0k8Txt+ci8F2VMEBacR/5KARZyfjCuzNh5F0FdEA0371l5yIwuQ9pP1LdYNuXUb
7SsZUuiSStvY1Ul/tKCkJga5o6Zx6kT0EsVW6DfJAQjTF0QNgFCCG30cmWoOg7Od5uGbSCbjBjDW
G2ospB9DbYeGp7dbf9L8PRT9V8fvumOybKI6N0++qSCQx9H1u6vA63ToOpROWZ36KyFyfzeO3ddF
SbwuHevbaDPl1VCprFG0ETZspOnJzrRPM4lIO6F046ZsggtOQLW2iILblKWmQsszqq3V19G6GRC0
jE4LqqYeUNZgjA/4sHMi1za9z+gTwFlVd/1lro0WRY1SO8+umU5O5gO+y+lSGEYK7clkVmIoYoI7
g7g44F5XEo07EF7xxgrG9KAt0qSYGUNBapnHZjRwTIlXobDfyKfF3DMY9Xdk/GQA5G61tYe5YoMJ
ldcS5mL9ceIws/Js18gp44Zd7EJQWXEOuZMyX7x3P9HYYi1KnbTHGWvr2BXTLPuevDuRRIRJMRvi
fuFLTV2901o88RvgJgJlFHd0u9zW+fvFXb9f4qRfcaFbHq7xvf9+0Y/vl/78XgDUcUQxML0XBvZ7
keAu9QLDof5/3dY/6bboTv5+q3Z5ixPWaur1L/otvvB3rbXHKcIKzKB1QtLMr/zSb/nBBzQFsFcZ
WXu//spv/Zb7ARkIGEhCSVwLOcgPchPnA9BwZlAoo5GOLdzGfyA3MZf+8Ue5BVprdNsLYNf1bf4w
+6cLGPFY7zvMCvZt0Nrx3mxyEhxhKk8tUus0+TblRXFkejDVB/QRw4NtKD/euNLI5i18TuupydjJ
lb1L5Gvt5iOVWKpxszqyn5qd0BLraamUL5GU+q3QNKe/s5wS6ZUHyBsgjG1nwR7Xmw+pXflNfda1
ajrACoB+48S8JH7UM813PK58+LdL8WNoj4ExNCd/8IaPgLULgpv9YGPoRb5uSv9e5x7BKqbfKMXF
HwC2g+Xfje3XpmhquUb2KhqGTXF81jPSI5kEG/PZSSjzQ2kzAYabBu9zLsTeG1qQEmZq7iPHJxrW
mS0AHYoG0sbYyFE2xTAhlHuViRU8+lXg76SRS5zzRbDOlBhXFl7rjQXgncVdQPuYuLSQiFSex8qX
A/7qqfbgrFT3BhNCdAV1qshJRmikU9JFKWrXUo7XhnNQwSHk/D43aQ+lIPLHkWAXWVB9BiX4p7Cj
J6jDWEOiCFYAI9I2NlSHaGMMNOM6G06gbtsYa9fVsHVGPLPeRO0+z7Q2YtfmG/Nh0Hs3O0ajDKyw
yiJj3AyD68xbCt7iI0G+jXP1RQvDxphZLiHeBaLHssrM1cqau3HYRm437rxeT77pVR17a1GLYFe2
g/HsRBIaSazH8QJg/x6ApBg02dyZpW+eq1bVDK51ba+hePnoueTrJHp0B/+Toq6RPff8JFg8tTIU
qkmvzLmZ/+sEVVaA1OHUOLrcdXbZfbPE6O0rTFrpLgXIYIRFpTdhjqL2kYknSbwKh70KBTEhDwR3
qjN55RBEpxQGU9cXDz1JvSEqiILIjZIyP7aqo+7RW5MfEW/01D8yNKfVm435MSpTYzs2lXN0kVKv
kkzbpaUBzMcf1nnVdQ/KJo83MdzuVqPR28pcxmLVgwBe2UWrgERUiSfw8/H/7yoEkme26JQRGRtn
hfD33DYUOisjs9NHntbhhJHNgFBvIl+FZptmBxXnsibDfghZ9+KSq+PhEI8yvw2oez71fLb0cFUE
syQ2J7wESk4T0RCalCGrDoLThfc8pam4NqrageQoNk0AHUpkpKc5piY3re/VD2KIO4aMQ8bPffEH
ZXHzyQuQfmN6Hi51r96qYYDrVitT4AyM+j15g9nWBQ2Zf6w16T7ICm8j+4jc+1yrHl+eLlz7IItR
Yxs7DbgdULS6mjlsnLEZtnrTNrs58CSUH6dYCwOYXTFhnLdBBO2LQDvqonc5YcR0cR19+BjpHeLY
Li7u4sBqjl2dlfTCSQDfo8GHK8eo/4WG+j+xyX8lNlmw1n9/LYav4rV8V2QSdvyvV+Pyxb8KMRe5
pYlNDh8KE8QfrkZP/8CV+INGkyngb1cjjjgL+YePMhD0Pta3P0aRaDRdi1vTQdhoEIJl/5OrMWCm
+ePNuEDfLThw4P2ZevoMI//cmtatRvRLadjApNLvg+feeK2zq93gMYs4rjDXbwqFaGTEfYFb/spy
7BPrnt0QfE4kmjlDi0/Izp/zwd2RfbQ1NMLsz4T9HHsJUtCDAReNFzJSnxv4XfnSA87OLptbLCTr
KkE5VtQno127g791JV9Lbl2RtXu7KQ65a13d1rlxXGsnG/tqRwbJGSuTIEQ87FtVB6TnNA++Vj/M
gLIirls7ocMQ+qrov8zFg4ph2Ip550zu1rPlxav9A3u9s1HbN6U9PdcW6Qp9ecfrtakpugvBwAhV
HzuIx5k4W9wP9mPnQhCQ2a2IbEKZksVO7bT7OUKAwOzx2sfe3gJWBFtt/Ny3waPutx8zmx8Zuoid
FbkHXOobxphftR5JC6IVmxPohyfvLwYMPyM6f/kQPR2FBIJfnpqfxskK8nmXwD0kmBNGH/eJgHMT
y+bWUerWa4l3SRJMPrO30QgZBi70y0Hxt4zQn3no74Je3XN1BFUoqxiR//kpYlNMWWCm0YaCfa4R
wvlDu510dnCjchxsSuatHeXubojmO+B3z2OZWmckyNpBuKhovNWbsvp2OyN4JRveSreeEYlNVM3n
qWj3Q7MIF3ymnjoGEzEjELWdQoS7UrJxwm9FHK0sNpIwNqLgXa6cyAE0ZJ2aieDAhKJqM3TmVyUj
tZLTfB30dDd3KAR4916sxjxhNLv42XAqm6Q5Vk0dn94/oH90kF7Sr23VVd/7d2zt7xjb97L2j//6
29+1/F2//7b/T9i3HBk+grh/u6xZJ8lr36fdv/iG//jiX85JH6DtIi9fDiT2iOD1f28h9A+QcZet
DTMPtiXLr/x2TtofDJ3DdVGS60QNLervX+2ahscKCGGG79oGX+ohsP8HLQQT/58OStdf0m/pSHxz
Qdf/rI9mmzHm/G/iJKkScwsWt11DhDWxVwQlGSVWPXfZBlw/lekYR4jbPG8hptkTU/xV7/YEtaAv
PJfUzpCzqprIwEg0lENe8ZCnUnt0FtFqPFXjnSvK5NQKT2cj4Xhi18Gj2HgWB3JXdsm30fJnlEKc
UAkhG4TLRZNbPBOlUcARI5LnFBulzWyOQSUhspG6ulMlTHwfD/FgqfVMQp0Qg78yR2alQ9q2p8Sn
bJ+4HswtA0JWptEU9z2xp0qTu9KUDbMtxRBjKGb9IXLS4qM1TfFDZVYlkzN2Nzi14osqCDTByDXO
XxjPOLCIbA/0Jz5eaUqw3kZ+cDIzILSRhEiQOwbx1hnBpXdT1yEtn/NsUxLLvSrN6RRDP90YIiGT
0mopxjFUsrMC4T1XrvHFT31cgGU1QEnq/TQ/g1PNv0g3YOqWx0XwLa60+Mmkylz4GAFAutTTTOat
5liGPYX0JrBye6VbTCAJwzSPGR8AHtzKXtMdjKepap9ViqYr9MwphRzSlRNTwFKv1vPUlJvEnnMr
tGhvL4Mrs9e0tMWbbkZ4B9tR1dqqKUcsZXqgID0GnE84EJAPw8UhooJ5ZTyt3TLuVzQyVcGNJmPg
EDKAnFbWn5Iu6vq1IMUCXMSUVg1LCWLXW61KPlIxgw0lcSvZWx1/j6GscgzzVvrBOo8x/QI+bqFB
VaQ1w/EkqGPPPmn4hu9PJlvLrCbgblqw8wYPHY4Zuwq+y1DBrLP8vN4UPNZPvW2Zd3ma2efIHbrH
pEyq15jIqAx4BXOuE1eehT+BhNyvjXDUpy5IKiOEioUwJ8ja+rMxMElezcYSFp5lZftgMAW4s20D
uPxcy+Cc0TnciaRpmpVfJoa5Dia/vdK1Tc+dzZwNs5iuvZEJ4eBIM4z2o+3l4osL03znT9x2GNYC
+diVpQXLpReIP9oe7MQeXShOq1FLSnzEeD8JK8VBS4sOREjK58CV9b3TV/PBQorAe5s3e0Qm2sjE
10XAoCP1DYG0Tc060s38S8zLtXxpxD1mt0XR7PW0y9qNzdSQ7QOilALPGwIRu5j0l5jF1MelSVJ4
mqt5EQ7xAfpDxXdtKd9h3tAQ3tvpbCZXXsO2Ze6SDuCt+xYV5vxJxtPGAPWHOMj6Wo0B9gc9z9ov
jjcJHIeGPX2aWM6GzZCgodc6+Yhfsz4nvhXtc5bdx1IUEodr3PPLXkqbo6buZe48TL5x1xNHRUIm
i94elqQ+A1VBoluvS1WX2xxlFpsRP9oTBQBISc1M7UgeHCVsyNpKQG00hKjMphc9ByYD8bJHDUcM
QeCuNYO7daX+j7oz240cSbP0EzFBGhcjb52+yyW51pB0Qyg27pvRuD59f1Rlo7Jzegqo7psZoC4q
kJmhCHfS7F/O+Y5WTRvS+rXbZKnI3nSW1LTCcpzKeifw7ZVMBdr0V9Y3ycsik+TGzK083qGAgdBr
sAl7M3hRyNpEitxv8rbt30s7SxSviGZnmKcLr/ZSuu21mZls70HAMkQul2baWnBqNhroA8Cu3uvv
2jafwfNXdX3SZde9dauBFKHZz7wcMsavinN6KArG6EG+ev56gxEoTqAXU4uMUA3CPTdBMg3fnChW
FztKkncLXR4DGLdcdr3AqMsDi7okpMwy2Y+0i/zRAWY5xpR5Zps6TehX0CG4SlDwxFnR/nSMGDUM
A1H0dZUex9u0Z1AaBm48uww1MpKfjK73k5CZcM0I2m09eWSjnfibLoste5ubQfdrdjqMEeMkN/XS
cMs4JK2rUrXnyEsr5k7aWBer5Dpsy7HI9UF0dpcca9JP907qaeCAS4WeEL54nG6swnORC/Q2xhGW
t+zYeTTb3xMZtojFgNNYXdeBR1smDqegqJ4qg9eNIIcUrufYtu+p7AgJwQbpP+hGiVemDhEvXZuL
i5nU4iVQQ/tGTJJ/9rMiZnYgNdEDfhPb9w2JJfce8qqXdkaSxrHh8fhICJo2db0FWaZLh9tZapDH
zuTEr4zCTIDcoG5+my05xzf8CRMblzo4PJA/s/+uJwTaXFCiu+W9dctj5AicLWp0vWfOJnUZyiC7
G6Na7HFBEdMXCYxFk6HAFhVGaiRhsRTW3mjrFBV4JL/NmTluCtzm93kWmCGTITDBY51eqb+rMFks
i1LWq9k8Je1rzwb3pQnsZmuBPW5MaT9rCGfXnKDDbZ9n9rF1S/O5NWvjl8hI0NqIWPTbxq7tE9Za
LLUJUQ/PpRnLq6zT57o2jWtUz6TdAwtqN6AN86uRoSiMnQaS04hjChdVAANvl5oVkaaajy0JZ5mt
NrECtSxPQmE3n8CfIxS4fYwoUuYIOJd6BOgMqEDHlA5DMS4/igQSkAEaQoVVXyf3tVd0l7KBjAvn
L/0ABfwO6GQ5TH0wHaIUyZ30yvQz6mf8uP6YP/pQgg84f5cjEMZq3wKyYE3hC+MfWbBzn8D5Fl0n
1K10y/KjSAYWzb4lJlxFRY70slIms5a44XDpUPWccHbp53bBalQZKkHhYaqdXj3PJaHo6SZnnY2l
3LEPDgdQCK9qeHa5Wh7ge6MO6EbA/IBncejWLLA+Fysbb/2O1eKOEyE5DXWU3MXmIJ5Mp2+usB+y
AR8Xyk4oAd6T7SbEOhfOynHrbHHI/Mm/mxcz1jcVpqZ0E5hJcetlpJ40cxC993OeP2qJdFy1hS25
lSklaG8bzMlWu4rIrFkZDaKeviqu6USy4cZFsc39XaJiU51OYaQ79fxNLISFwKJqrnlDaCXplbJN
Nwgk7E9voGgG7hsnr57TJYolql8bSGFAMThxhhgCNQP7T8ZtsP7Tfh5PASGkNUSOzPs2kAb5Akhw
eCRuvD3ovLTuR5GINtRuh4anNzgeyA2KD15Z6Pd4zusHhVkgwFTXE8nYmu2Nl+S8qwvryYucbUBk
jC2H0ECM+0ABi6KmDYbkLbE0UvFiHAATkF9gP5vZ1H6D8NZcgy6DMuCp5c7vvXjYcG0509ZtFd+o
UulSbuZS/qwdh0Eb8YbznTFE1TloKvOglgA7gBq1gd9Zej+WxdcW+WvO/KnhvbEGLytj58zN8D0T
BUYSdJQ908gEjRU63och11b/j78lSsEqRIs/vAeDfLYxo25GQmy+8XLazqZNq+bqr5ySpC1f3Lx4
BLybIjmMu0tQJhjp7IgdKd4ZVM2lG8ShMZNwXdlsJTZR5AXfWOJxgxADGdO1OoS0bGjZ7dfMi9pL
QPLTY1DX3iPcuuaW5qW4dPFcvBmQFrLQKzv/B/zz5ABihZyjiVDGO/wiAzzxQk8ffjqb87me7GHG
o2gN+TmpBLFfXhzPR43X9EdUxHDUKhMfTgU5iyS4Rq7bd+UHLCljnP/cXL8Mq/N+xXGk+t2Q5WhT
+4W5xdYr+a6RgNmpOIg6SF+GoBN7oy6yt8UwlkczKKHvDWiTuduS4dXKg+QRrWZxVw39cl1SW/+y
vy5fFWVrMtyCxGKMo8c5mbvvU+13t7ICSK/G4cZq49hDCzF4n0mdthN6Hz/BTxSR4hUKD4rLsAj7
3s+xPxLMB7QwSWdkSF2xclXNyslz0gYykoCHtuPQaGvEWOws3TcztlpsTq1mcW2mCgy/aTY/HKMF
Tl4rKG9ELT2k5dh+A2oJuK1F9VuggnslCAAd7MS+4xQMfaf31jgh0ykrHYO0dRbjRAizeRQSX3Cu
7NnauPMKhKVJLkCq6f6SJnbZHHLP1+xYLfJCaAnSo6dGcWwms82JPwfEbbkJdeg8AMRJ+qpptnaz
AmIyWBuEkknIfAjgunNZZlgZB4xKxVZEVn3tmEUfe3wCVDdgyQ+u2WVH361Q5KCrEo9A8JzjaHnV
d79eyo+1y9b8BLsstr1jG09mr/ordG/1LZ/wzOSWXVKqcuGH4HqWsMEhwD8ZTEoMQ9Q3nTk3lzqI
4X4g9K2jsC7q7LOsC5UckSbF93Ap+CvkOYwe3ocse+iD8rfSjC95XeCDw/y5GipdMSBFX4dqcd2b
mC39QPyvYULki4LHSWTLzvEX4WDB7L0cQOJAQQJsm/CS1PXF1lscZ2V3eM2x060ZDm6VGrSmCbPy
QqSle1S646uhjDfLYL5B4c/0kRvpM2XL54VVGnXRBnQSEU6VJfFl4QSJkCS4RFUto87WvZmHRkFB
UqRny70dLJnkphPwdhSc3p+lb3kA8KZSr2Vk2exknyg/RKafnoKcumyK8/o2Vl8IJ7JhAZdK86V0
156CvWMBR4JbPDR9S907PVrk0tPREaNfdRxy2Z2qfk5agsbKCZGmJ8xDmXn1yWiHiImin2JS9pbi
FhVlK062UjipZD/B9hzkyOrr3x9VPdcl//ufzan+Oqb6/4qA9+c8is3w/33o/6JJF/jMVxDefxn5
//O//XOWZf1hIqeFIEbwnbeOrP5zliXlH660EYJZK3fsL+Jj2/rDYeCP7dOx4RR464r6P8Fj/h/8
gzWb9WuBvv5X/8Yky5N/n2RZpKCS5ASkZB2QMXH7r8PaJEIfyZZbHBDOlcVBgh4gWASMFy2rdD+7
ORIP1kwx3Ta5GRK2zuzDzGePwtnhUBxdOV5IJ0qhRlEhE3jShknz0i8VypYBWw7xy9vEY4AvKYG/
J2mvT2aW2qsANzZSYlUJsd4AaoETPpd+HvoyhWZWWMBLdbvcC8bpKMgcfcyqnj8Fq4FkA+V7wms6
IiZu1K+YIUuoqWax1pcpxtbA8u9M3aeXmJHubhYZ5azs230pgKQ4ukx3nc78m8y24PIkiwpbsjMO
gKWDnxlQz3Lj0rxDoIicQz335pOky7nPG6898M3IbWlPJLw5elzOMDPFll6s24tFVmQVoXZKN4mA
pEpsM3EWcZEdSh/R7iYe5nwME2eA++P2/sNYZPHWa5v6OvhO890k/fLOyWFxLd6HDszbpU6RRTnF
kd0D6afyZnHnh8Qg0tV1+is+/1sqDbWdHKn3tmKE7cXqBDR3gm5keAXSH6Ns2MpPo94meeQ9ayam
2FSKITK3WNrJn8xuVD75MLdLZxvRQTB/WdnkSTmz19CBIrek6kX9SU03w3xW0UeQTe4pW/zmunQW
h/giDO+5QNB5Vtncwe80zFvwEFDNTG0TL+DrHHfIOurzykkeh66VR9CIw8vA1sDaNKhtS+LpERXZ
hnWB12icaoH6q7M1gX65K9jre6Lb9NUov43onW8qQZIOfjNsLETwzDs4GOnP1BvVzuSpPDJ8wgda
u0l1MGu3+hig/9xLgMSbAmrWd9XU79qf5XsQLPJAaZw/ltRuV1oJ75VA9GLT4Ge5YHaTF4xWMc5G
L9mqbrqgWogvgzlVe9XaxjEwx/wA1Es8cEHTAkw4iZFy5zzRbk7ogxX1dwyz8tticpiUFjnxQIRI
WZcZv+O8ca1MvmpJxR12ASaTuk3npymNp1M5dtaVIq53drHbDJ+2649nliUO3p8uwz+96I+xjMZL
RO9+hKZiP3embyTsPOoR+1CmPgpKSxXm2dK1Ibm3bnsXmDlkimgsDbUly6rboNg2drk9wgyMRiLh
iXqfsPQZ/JjK9cbrgLr31akNyqXO4Kto8wm0UBdDDd1Ug13fUPa3oQ0k7SwzqEAGhPZ7jgucTnkq
0rssoXHxF6e4jnrRlwGnxZWbntGcgOX9FCy1dXZy3a0+Aqv+AZ0xvjf1TOKXsDIBZb0lcmZCr7ex
LWncgHpq6XKtsbb4oVV2LwBV3UbDkl87NUI6jKZqpwuLMB3fmY5SjpKmxhibB78Zo3sf/dwlKZmn
DA1JVJsOoNkeKgcVIdCp9CKyiEyDevYuVtJNNyYRUQfTFvpSmc14mzBl/XAbOmPqNSqRUMwvDV7H
IHQp/p8tVYrvlljqQzQikEFMoZ5cNL7b1GG6nJIYfcD5zrs1j2V+F8XF+OD31vTAJmzERl8rHTaB
lHT2wAalPhqtqQDvDQm25sgkx9Udzloa7dXygvKautJ9bQ1vJM/KrH+NNo34BkAGap3FN55Q5Yn7
oRPuqxW1BjpYwi5v9Ej1DYI7Q1VL5kdb2fbvirgRZJ9j8+rWprU1mkm9pkmPYw7Jot4UJEjsbNSF
+wybFfyXPNmbXTIikY47mOyKBtnA1vnkyDLaJ4mvjQ2E4flU55V9ict0Ocyl5x78QPvsktWyja2M
pCvVB2908ESsd6J/RI69RiUhxsELKN/S0SoPZaySPZaz9k54gEFQp65hSyh7cOmUHzj6g4/AL8tr
7w3pgV0KvdjC4iDHGbgrB2UzaDCkOFGpEZ0KN9oJ3SJPzjk155kRTAsFxlcnZ7HKawOkJASg90Oo
yWcC352bBBWG5FYjBO6jsZd2wlMoH+MW20I5zSc/kfFzmxXDr6ozCdpS9nTQas0kk71orZ03L3SK
ZpEQ1aYcvNTGbHsx8n67uTTS0OHiAE5TPfaQwkfxw1yZsC/SZBGQuRvHflMkc7iM5G+tejiWMcp/
mca3jKXUkaN6Z80082UGsggTJxMQxa7cmoqq2SmlyYmwTNcuzrmtO3TlPliFJOsr4keSnihBnRUn
FC3r38WKq52asJ0i2P5gncbJ3NcSN95oT4zqTeA0qltm+gSx7EQ7uvsqKIdH2wAPscPsFhwnq8FI
C7SCan4KNiMotIUBRVH23ZVBTPO96e2crato1mVQeZ4aPh7Mvi5DLdIgl6lxblGf2SjQI6ZkXTXf
WKM4aHtZjt4wLSxzRfFGd/qTqp3fNvpMJtkdxxIJgV8ZR1IXGJHEYevW0SmwnJrAQsN+JLOsPztZ
bT4R30FejzKI+UhkhWGJDJbe3riJ6WzZLFhQIFOBRd80fk+R8s4WeMlX3o/2gienP9rLuluO+/pn
qQm79EWDcUQ0y6dKSOU2k+q6UoFXbMWyi4cyeuILKPlMcVVt2hz7vi9mvXO6NrmzYgyn/Is2c/cJ
ObO51FeCW8wLUv3ybYRZuRvI+yDA3BhIyxoFFAzhaUZ2ASSv36Vh22EECY7xRe5g7bQVRJvYH9Md
LAnPOXhVmpwqpzKY5eQxVI7JIVQHjZHJELnySCEKqvqR+iKtbouYcNetUQKh3HAMhMnJ7FC2bUXb
ZuN9ME3qjGitANtkp79KThyyRxxvDIupZfRse+mLTR+6yyh3YdJZ1nMnB/ASAkYQv5b2sSRufG9n
AghgnaICDNaJuC/So1mmpKBLVi5M4+4NdkwVdkt+YHdS9VRvexh7G9+caIopLWjg8zhU3Tj9HNNp
+j024if9n/qQxfDpNYPJxMyJ6/vAiL0jiVYkBMo0DavaHi/SVkAiGnO4WRyhtnXEmFB2xCWNBddT
Z/b22W79Z7GMeMXFmCOENvxtRPTNNumkhaSsi0Glu9U+6fr0Jquq8V5bkXGIaoxcjMr0YXQtD78O
XmuP4fBPVjngwhRCmCpZbL6GvnxO3dq7TW0/vppI0cliG/TeICKOHKnCe4rlukuouDrDTCzZ1nV0
AfFkCOLzbMhh30mGDAqkx3eLJfMOUUt0LVPmM+ZYy1BxROE3zty7vk7z0CgiqIetEW+jwsbwO/oV
2ZYM5t3dUuDVdXPGfaFIR7lLIjPZZ1pGMdXViN4iqJ0b6asBzu3kHMvJs54iHSQ71ZhQWPEPHN3Z
yQ/5PFqvDPJqmBudfcy9YTylRVRf5Vgw+Og9NplrCGH65qZKH9sxxy1HTOl2EkwGnLSSGxIBnFcu
OjpuT/l0B6knds7o5+fUKv2jjMgR6+Om+u1XuX/rdW7xMhDADYawMnc4SMhqzWH2B+3s7JE1mqdq
aKytk0cBV80Mw5BqwAYjUE2XztQPTEP21KnAQeSSoQxS3wwSlFE3JXfDbLxj+k82dlzDMKnQiHi+
IqWipmlpPNmFjTCncwOva6ciaCqbyUlHRCNsW2jijXrDg8FErdTF+GjmbBRMZ3EB4+uIvwHrGFCp
0fkvneV/I+oR/4eo5u992t9ENQYszmw00+TIno8d2RrEZgyBZEnsp3vhkj0PyNJ4aQMxPfuWFbzN
/tDci2SJb/xZtO8RObjsKinw4XOK+JD0c/M82cGyN10DvajM2ROpwLhWgxIJL21KppPDNwC1y6GU
MCKRvjlgig2KmopcK6GrA0sBZ8f8+sYnSPpH7NXx1jammtDbojvikHjt2w4UqG7cXQRT4U30Pb5s
C2gdyRfYX9a1ZpW77p1TkEoPvVO52xIrK2gQKT+o1OODK8iDYmD/WQ/utdeosalQNkQl5JhuxLx1
l2R+GPrqQgTBcsHyJKnAialgf6sYx+bQ2j2klGrh2I6V+1PolhGU4ayL0bmkKNwNhlV/W0RZkOqT
+jlHbOINl0jK+ZSwubdZBQjvoa674b4rlgwBJ8cBlIVc/MJBk/5somXA0GlgUmRM/VgvOTokaHKb
BRGauavnwbtxdG8cXQHqtcuWuiURDIwPdG1z+jV001uXLC1LTDfdO6os8Fu1xZ54JDb+LA02tlpS
xOSuP0BBUlpuepc1VV8P3Q4Zd3q/5BU3NLPfc0T/ek1h9WKlIkHkkRc9OE3BNJ5E7QBtYFEBFm7u
fmOqoRQsx3F6TsrRRe1AvTCGfkuKXuhbRk36HnX28FVyF1/lt1grcW5hivKsGbsdH6TYm/TyxcYc
CZaz10oeKgJnk7/W99ZXpQ+rmunrWv+Phq8vwdoT5Gt3UKx9Ql8MAgRpbPj3XTZahNoH3XO5Nhjq
q9dAFs0XpNYWxP7qRvq1MWGWNl7Lr24lWhuXUSVc1t4oQqLNiJ23yYLZxQlCt+Cr5fG/2h9Lqqo5
6lZOUAc86zwpF1Wz0xAzo3IeXETzxMm7lvxkw4AlD7v1RlSDvjroxg6zD/aKQ4x+a2mXpwZww7Yw
mkdDpOmxMfjAbNCSj4iSnbBOqZSNuUPpU1MKn+VErNKQ0KQ5KsIP02c9+aM+ZRhcCB2Qemha35Ca
u2EPD+wa+KN8bfkOZgKaaRnztXmEhUkfiQIgv01yzaSAJtOpsiwcvzpP76sLDdaGtEE7fGjXJrVf
21VU0gjo6WCbtZWFGMbXvra3/CHXRpeWV63Nb7G2wSiN2N6trbFrxP575bTvE0ua797aQPdrK72s
TXW1ttdEyNBpL2vTnaztd7A24vNXT16s7Xm5Nupo+MWNXpv3aW3j9VdHD20iguFIm7+sDX/GIV1G
AFU0dKcSv+k6GcjXIUG/jgvcdXAgdB9s//WJ6vxd62o5wgwcy2OEutoxv1z5f8GOdgGiH/KBjMOs
fedcMb3VIvKJLiO/TAjqdJRf7tV0VsEBthARugT2HgYhrfcOnEcVKqx1P+ehH89l4cw3hm/homWa
90ZhUL/afnPp06rb9WawNBRP46MqNfBeEKQ532lmr8yqOT+CSu9oBXTGGtqLDXnufFwPOz3zp7ID
MVBZRUv1qaB4tNw5HsGiy3qQ5V9nGhx9zrfl66xzvs69ZD0Cg/Uw/Ncf2Be36J++Ven84waimBbr
mEu6f9OVBorVlANJ7IA+6Gl5s9/aT+OtfRzvugfQZ9W9Udz965/o/A2MsP5EywQJawGo5aiUf/uJ
IwMWhuNpdEBiE30vQKxoTCzZfJdP6SJCKunmRs0twngrzpPvlrvoHc76/DfWj4nowjmN9lU2or4T
kop6t0Q2d7ioGxAiC9kz3wCaec/wIbjqvKqGEZA70scAns+K7NC6vUDvIlgW++aJSobziXHKxpNQ
jKYFVyDlJ8OGMtsXjtXuZzACN37tLh+IwAg3x8V8GlrXP5CAbryU6aguSKHyB7Zc8Y0oeosMcQri
pyTwFhT7aUaowjiN22xK1SuBCuv5VYri29eH+m+pT/83I/3/B6Wn66NpgiMG1shTQvTzvyaGXD5/
MrX/68j+v/0N/hzeI7Bn2g4G1wsc23ZXRuM/vGxS/OHyeK4nh8P/WfHIf+pQbfmHia2bgC2GaX9S
Rf6c3ttrDIn0Ua4i2mcDS5n3b0zvfXe1qv3znUSkCM8ZqfdXtfiXw8spNMnhuU6OxSjL9YzHEc2t
jDkaVFu7erCq5UYalX/obdWh4HHlGYtVwh7V0whfmrVbr/zZLbdyKuh8DQaWXeDPr2guAqaACEUa
oqhLoAEpc61H6Ivdg8xNZwplVnId2JIJdcsINzZU2AxWtOtsExJ5l7Ui/o7B2GgQVtTOLdMo+4yU
cPwcorn63iS5i4nfyZpDXVYAlRY3pU4rho58rXH2vA98QjQadh1M82E2tckEuSiG9gSpJzJCTC4O
GcxYi9tz5nvpA24yNw4xEbTPLuChp96XE2K0HowFeFbvXcx5eZ0mazbCaRA5soEM8/pezKhEYcQm
5nubzaA2AsYb7COgtz1OVUoEnssR/SNzjekcZKVztqBJPLqGW+3W2viJkrv/BqfDvWL4Kx9liaDd
0E5wxMOwHNZJ8Y4ATRldBhwLjDlc6pKYEGTknYa/H3DZESEh+uRHME58j0bREfVXCG/ghsjH5aYx
PPv3CF7tiaTY5Vc6lljrID6379jwnfugn3FjJF0WqbB0svhFOgVGxL4v9TUhwuwOvBNhJsGEw2LT
x/NwyAvmy7gUhvFFWp7xCumLapCsBvOFgSTJFIFHQPsupZIABpGI75k1tigtfKCVQufEfZkxOs3K
owFCr1zKXdlEAVuUXF/wahNZ2NqwfSUTpu7kkIIIwsSq9EfJVJxUbqfvfsVlND27Qw38rnM0OE3m
hn4oici9JYuCOBHCKIpiqwOHfIs264J7tvtFy12YsXVygwHexmwUdXo7LnLCOD+3tbPLBrRo+9JZ
5K8qY+m9Zf/gRiGOqGbZea0gVsAIyqzeaBc5KgVo8mauoXSIliZ0cu4EsYS3BvQFEtFyPLqV7GlQ
IjX1YUpVw+c3MCIIgRNUjHXZ8j+6YO4Un74Xv5XoiH6nWSPnsypE9ItViz6SXdhbP8Bjm8zgKDaH
g11GC4/UhOCU+FwW6FfchdalDwi2QaFVQLEYx+5H7yUTZK+mr7ZmWvLrTnTGxTJS8iOHHp+NUy9L
dtXJ4GEknSK2MeNcvrQ6dn7OSP3eWT5HzL3Y3TW02EhFiYdx95lp5A6q0Wo8NQnwLAaDnkQTZpBP
sGXYWsA+q3MNIyeI+/0csOvfJMvs/woG5YF77gKUkbJw2dRNWj6YfdSdQFF07O7LfnoyiqD7Hii3
+5ZliXlHPi98AyQTGMqTiUDGRgXDA0H23bdRue4G8gobhIUrcyjYS+4mP1szb4Zo2JUi0IQE1gkC
1aYq+CxAmhI9kw3NNzh2+U1l5W6y8zKvszcZU3hsuDGyVCuyoRXxVCLSY0aClMKF7Tlk0tt5XT38
ALCB7tfKiHsO9bzo2wIt3iOKuQRiaFQ3EXno83Qgxcc9WE1hnohAQj4r+BrfVZAvP7XRkQYktDnf
4sQzbnuZxLcB80ZmiLUjH8eySZ+GwWDJXwyedTJHbzk6pN88pv5I40gLyQxyrAwCV/rqbfVB7oYF
FXYHS+hZ9xw5aH3jZZ/ljFQ2btCkO0RYiOsWx88+KNTr+6xQ7q5r44Bssmk6EeGy/Oxnm/ifOUF0
fcjzGtWRN8x897DKE1g9Y9y8Q7zP36UVCzJLbIsEEneSasMZrl/4dqZhY0KpuEdoTJxlQbDI2XCn
sduMKOSCQ+0zWYhSAxeASQ3b8Kxm9Xc6dRaKTs9D2Jo9IaHYi7IPq3aaN7cdx2DTtmqVsveOdvcO
06GEEKIMuZiW9LIH0ZjNa5fB1XgUPoJUvhKbQyc2mc/bBt3XTZLNDNhxRloLSdJ65Qs3M3lSohht
56TMuUM22jbqNl4IPt2MVTDnWxmL4E61svg+JXHyOzFUvW06M32OheqwtxaYkjfEtIBEbqMMiWdc
yx0J1oBwYwgJR6eC+rQ1akLLnaGdGBCBTTn344Du1B2KEnJHres70neISiWcB0yOH03XsWntZWuQ
nHQYysQ8WcA5QXf2hRNOJYXovrXt7GIriymKqLWN2c1ODgP501SRMXnQHatD1Q3LZc6aBmpfWZGe
2jpgwFqvzL7LNq/QRdo345SOAPYLoDQb2vn2oall980u2BDSpJh2GM/axcudw9nb1AyLQGrJ+sxr
49bfSjZTCLF1d5QeJSmTDG8zW8U7iwhE/N5qdsvbgDTNKijOiT3SnLK4aXNMwpFrIjFeKs4h1zgo
69H2pwdhAR70TQQxBbcBFzUKzaIqsJss9TpZifwQd7J+rKJ++O1w+RxIFmH0GkCChgOzXdAzH5cR
nJDQXfdiT6599HNX8uoWpHlp33J+AVAkp5qVdXDtLRQBRGD3wLyY0J+tiHm7N6c9SwYLTLsNFRtq
dZpNl8VuWd3FtQkLJmID63KQ77KxQrFrTXE9hw4DDkJUPCvKw4Tpz6HL5iAj173NT0uKMZ28g+I8
8ahdfF9nN0uQOjd90gOyB0XXvQU8Z+grK/+HhzqionVw2nunLPxHpmXymGldkWTTRMh6J0P8JJRY
bKPOqh7aDJRYWyypsytzMKemq5sXs8KANvZ8/TWZ029lkuOQHkW+sLTzYnNjyUzeVYjrfxBShjdR
ITsOPaWb1WBIwoBukcaipv0xxVZz9eAW3FZs4zHW51l817md3Nm1TBha41fYGEVja2ouIT/KxQaZ
WvfF9OI5KfBKdyzjX1HSJtgbDejXfSOh3ZS8hZux0RYXKG6g98GZ5U4O0EANxybJvTWj+F0SR485
Ih2mD8NLjI+8dwDbZDrDV4mc+5D4jbxHsWqfGUblv/nzqiv8pfl7sPQpeLhm7ijPUtjMm0H5Gpzc
CL0u60Y32yJP98XGw7344MfK3+NVGV8XWvq9bKvyMxAepUbTYSnf6C5iqRopXalQtHZ84KsaL1Yc
a06HNFIPKRvClvLFg2Onl4KTChOMLmBpJypll2309aHXSB1OcEXMGJwmZqp9YSXWXdc0zjchR4JP
RcfYY08A1wBhXfmo2VMklTdpLJeSBPep01uIAopkL/If7JDdIEEO0Tyq91GnKtsqZi91mC5FdMsU
HBCWS1t/4gkJFsTLqf6ME8mlxsTPeswHyecP69Uhw6fMekB+ZfHqOEn7CMCuyzeKfugxm51gO1gD
+lNhypu0c/17ixXQr9Rq/WLDU1CJHfduxQEoyKeHv67cJ5aiKYrxmZJgM6ouqQhPWgi6twxamCuM
jAEL/+A6R1mIuobp7TQwEEidBZbAVTHcirRrIuxNZRyHU1DLg2dp/7EoRNNul2D0l00dFM7vrDQC
QPVAGV4C15hRoRvmT98v+v5Yjws3ec76rKdYZdmyaft2arBXZRiQOp0gmSni3wJdzaNemNDNQWOl
e2pM9MGOn+4WWauH3md7oxjwXayKKN/9TNWWbZ2JaCyy2X3OqT73QZZ10WcwtuLRrCgxdlS9gRGq
MnCL3dR47J5Yzxu/wRIu1Gi9OjEJw1CwADzYG1E17ZS0eU0c7mWU1xO4+TYz6087aBtxzYa42EUD
20p+NV1rs0CGXDX1SJhyo8ir4qkSIR6/5BoxbDvZuU/qulmyXpg99k50QKIFUI8oYwglv2X8kqUO
fyaL7fFrM0q/27ZEh/yumZw+4pmDpgDDmylk1BLzmBkLkRkwqZSaWI/a6j+YO7fltJEgDL8K5Yu9
WihJ6ERtJVUhYBt77WCb3ezmhpJBqzMCHTg9/X4SiCAbHMdyquAuAbdmWjM9PX34/6SrDqkOoHcJ
D7C9sqAKsyZJ0k3XsJHBOOMpbUWwpobt16Nrb7mGPHwpkn2tJxSur2RAYC8gMNOWN7SC1wcgliFF
t2OlZxEh4UrGnTPL16bDK1Bbo9HKb+E0r4Gsv+fkntKVBnn4NezLE5L7gjcl1Rc2LwTaWsBhhL2N
DrNl14qkWVeVbG8JnIm27skubWWQu6XdVlift9NVnN4waPmKHjThH/yAWZcKSzqUYE6rs2n8sK0t
hmvqvggd0tpnUQ3geul9KKcET4ImESMonwmbUajr3NHn5HfFaYsAmqK3lGshkHCnFG/YldThI35q
60JgT3bDNCGw3mpZ36QoSB5XAln1dh0SkY61krxvVhxqd9ZaJGjH7cC9WoR1/2JdDwLQ9JPlAO7J
PnXAIJ5TB3BHOox9KS0JlQ5VZXmlz+aLS3nqW9eqOvXQu+pAMAdjNN3xjnIReoL0dRat6fEInVDN
PPSgeW4LAikLbVMIb7l4s54jPCqYmEsHtxSU46Ub31CGAKf3HEq5NJpDayPVHTfpWM213wtp+HDa
pGDDAQQB+jkunNpX1aX8IK/DZk9T43o/jGlPWFBpTHWtC6DnrD61Fm0sr9RTLV3vasu5PWDrDf+1
VYmGU32YTjGPFuH/OJ3TbeVPAD2jgcwGxN5W+yC+qBDQ6zrMkU1V8G6UejO9tKmJvnWkNWVnQ6LX
XyJ/ZpHDEcDopzFR6w0DawVleuomDxSSO3/BYzPvE2ZTRuxdsS/aUcuc0Sh3Du35MGir0ooWv/pC
Jn6ehHj1ouf26JZyIWUT6DgQ5sQyggR7RYeVBDSdHsBBPUntTjoJAhBlZkHba9UhBJ2qU9Kn8vK6
7jNZT0NIG8ApWigTK1S7CpnVrxFHnc3TSM4IAl1YDthaD0PJ1weJncIiukrJjkI4sFDPZ55LiL8p
LW9CiLWJK+K5KJ8hK5wMxEAEKUSeu/1Qlv7TuAxyKgP0F3eWtF38SYhVA0BBjrpzz9Mn9xSQLf5W
OZR5l+tZqJ+n8zAZewRiP//O5dyfDidN/7K5gh8n8aPlsiOobkgP18oGW58jJaUe0hXiXwMG8gtI
r7eBzo6RGN0cQ/guNaPVvQlCUbJjHcu+7YfOJBmEb/tREZQ7LKi2j6c14r6WZCOwILnajyrike7F
u3eS8vG+JME3EidJx+aHM4loITWOhPdoeM8/ZzWA363t11orA/+QAerQhfxDbS/lynsaOqaDl6e3
UebLvylNwBgHIBGCFhQ5o2RfBYxNIlFdqqHOx/RcCU9kfFeC2GrIChTLxF53s9xXgkrTv96CPW2r
IuKwp6UEUArIl8hQrFXSg6Q3YIimYoYa8uJt7+tBa1DGTXpCETeK2Oj9hBYDjIHq5uXQFmCZ4Qs7
4vhioJZeVEVByFi692evgxehZShxG/yJE5o22TL5lYbg6LQltQEsuKKq9ArkH5KZ+7MHkJzlD/PU
9t2f3B7QgHCVmoy62haQwGSXwPUgdXtoC4gN+FYElX1wolsAn1h8CpDy0/YQNHuyopJ8RAnYQzKW
MDdmWIp8NmvvhDYE+xfSUMZXcTWA6cK5lyFCPrEFrYYg0DnTUrZHAl+f1onQhDB+M6i3W0JMAvlO
aiEwhgf2gi40MBeZ93Cqy4CUqlj1OJAwfEpmFjkW80/ZLupao6UR71AB/fnZvfCKDbNzN2nH98e5
o+mY8SF/9NgPCh/r+fdb/6o3/nCW+ZGlH2aAdZtnf/dDP5bOjtwH3Puy8Anz52z/fDvB548uPauY
VfGfl44ZGdEIHtrc+d4O89YIcFc/TcY2xMT9yBibsb3vB9LzlqHDHuf82B0LL8qPYyMoxGSaydLf
xb+zWX04K2lhz768JLbt2EZUiMnEUlXDOqo62ksjWhkToxCUv0m6dXDLKkt2AmMEDO9BTQO4hqdZ
9RFXBphPtd+MYPpH7dqgOtopaYjTJTtXqj7l2ogm3NS8spI2Z2Rl2axT/4lgOaveqCr4T8OLbWO8
MM1pISx/t1mlR/Efb1+MN8bYXh3eQ1klSfUHfBk7DL+Qk+8iAPve4WX203E6ss0oWpWEq80MoLCq
0vvpxDUeCzn5qKkZfYdR3xuuQRTZKN3cty571UE/OJ7nlAxWUwA3rpjF2xfJwAgcv3ZrjNNCVqaR
7f2q6qjztuZDpmXrtVSV/9WMk1rbnEDPWxr9xh2oKv3GwJhjsJKotMa3gYiq0i9SF+mlEMfuZlNZ
dlgacSaX0tRCRW9fLJzKO3TaW2cUPhpRrRdn1MhxITxbPVwZRDG7qFadx6conRw/nsg2UHL7HobS
WYdR2R1ANH0grXc4YQcRidzyCtoKf4fd2zHGeEnonx0MEGbt0pibvlMoPnsX+bOaYFRWfhk/YMGu
6JC9zL1WVfgPqAYqiu+Yvv1U6dswXdUd0Nntt+No0BVH/zlDnXCewahuIo3vsG5eA9RacQqvgM+o
+IQrjoKj8BzvcB8ZmFhR66mP/z26UXUdvbZQuaKaDtujGudG7ehKBr6ccCOQbJKcoY4rYJr/yFgd
um/ukhXPb6FFEuLQn5Wv2NkvRr5pRB//BwAA//8=</cx:binary>
              </cx:geoCache>
            </cx:geography>
          </cx:layoutPr>
        </cx:series>
      </cx:plotAreaRegion>
    </cx:plotArea>
  </cx:chart>
  <cx:spPr>
    <a:effectLst>
      <a:outerShdw blurRad="50800" dist="50800" dir="5400000" algn="ctr" rotWithShape="0">
        <a:schemeClr val="bg1"/>
      </a:outerShdw>
    </a:effectLst>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13" Type="http://schemas.openxmlformats.org/officeDocument/2006/relationships/image" Target="../media/image6.svg"/><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hyperlink" Target="#'Kpi Creation'!A1"/><Relationship Id="rId5" Type="http://schemas.microsoft.com/office/2014/relationships/chartEx" Target="../charts/chartEx3.xml"/><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 Id="rId14" Type="http://schemas.openxmlformats.org/officeDocument/2006/relationships/hyperlink" Target="#'Sales Data'!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42</xdr:row>
      <xdr:rowOff>149134</xdr:rowOff>
    </xdr:from>
    <xdr:to>
      <xdr:col>1</xdr:col>
      <xdr:colOff>498566</xdr:colOff>
      <xdr:row>56</xdr:row>
      <xdr:rowOff>53612</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9450A41E-8C42-1C96-9407-1F96D9E257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7830094"/>
              <a:ext cx="1824446" cy="2464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916578</xdr:colOff>
      <xdr:row>42</xdr:row>
      <xdr:rowOff>182880</xdr:rowOff>
    </xdr:from>
    <xdr:to>
      <xdr:col>3</xdr:col>
      <xdr:colOff>320041</xdr:colOff>
      <xdr:row>56</xdr:row>
      <xdr:rowOff>87358</xdr:rowOff>
    </xdr:to>
    <mc:AlternateContent xmlns:mc="http://schemas.openxmlformats.org/markup-compatibility/2006">
      <mc:Choice xmlns:a14="http://schemas.microsoft.com/office/drawing/2010/main" Requires="a14">
        <xdr:graphicFrame macro="">
          <xdr:nvGraphicFramePr>
            <xdr:cNvPr id="3" name="OrderStatus">
              <a:extLst>
                <a:ext uri="{FF2B5EF4-FFF2-40B4-BE49-F238E27FC236}">
                  <a16:creationId xmlns:a16="http://schemas.microsoft.com/office/drawing/2014/main" id="{BC6E3306-1470-38E6-A57C-218C054F4826}"/>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2242458" y="7863840"/>
              <a:ext cx="1826623" cy="2464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235132</xdr:colOff>
      <xdr:row>43</xdr:row>
      <xdr:rowOff>27215</xdr:rowOff>
    </xdr:from>
    <xdr:to>
      <xdr:col>5</xdr:col>
      <xdr:colOff>724989</xdr:colOff>
      <xdr:row>56</xdr:row>
      <xdr:rowOff>116750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47F964F3-7D64-A752-B1FF-9260A359FD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593772" y="7891055"/>
              <a:ext cx="1815737"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1285603</xdr:colOff>
      <xdr:row>43</xdr:row>
      <xdr:rowOff>56606</xdr:rowOff>
    </xdr:from>
    <xdr:to>
      <xdr:col>6</xdr:col>
      <xdr:colOff>1289957</xdr:colOff>
      <xdr:row>56</xdr:row>
      <xdr:rowOff>146141</xdr:rowOff>
    </xdr:to>
    <mc:AlternateContent xmlns:mc="http://schemas.openxmlformats.org/markup-compatibility/2006">
      <mc:Choice xmlns:a14="http://schemas.microsoft.com/office/drawing/2010/main" Requires="a14">
        <xdr:graphicFrame macro="">
          <xdr:nvGraphicFramePr>
            <xdr:cNvPr id="5" name="State">
              <a:extLst>
                <a:ext uri="{FF2B5EF4-FFF2-40B4-BE49-F238E27FC236}">
                  <a16:creationId xmlns:a16="http://schemas.microsoft.com/office/drawing/2014/main" id="{E6B0A8D3-9640-AD0B-FAC1-AF058696C08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970123" y="7920446"/>
              <a:ext cx="1817914"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796835</xdr:colOff>
      <xdr:row>43</xdr:row>
      <xdr:rowOff>94707</xdr:rowOff>
    </xdr:from>
    <xdr:to>
      <xdr:col>11</xdr:col>
      <xdr:colOff>365761</xdr:colOff>
      <xdr:row>51</xdr:row>
      <xdr:rowOff>3267</xdr:rowOff>
    </xdr:to>
    <mc:AlternateContent xmlns:mc="http://schemas.openxmlformats.org/markup-compatibility/2006">
      <mc:Choice xmlns:tsle="http://schemas.microsoft.com/office/drawing/2012/timeslicer" Requires="tsle">
        <xdr:graphicFrame macro="">
          <xdr:nvGraphicFramePr>
            <xdr:cNvPr id="6" name="OrderDate">
              <a:extLst>
                <a:ext uri="{FF2B5EF4-FFF2-40B4-BE49-F238E27FC236}">
                  <a16:creationId xmlns:a16="http://schemas.microsoft.com/office/drawing/2014/main" id="{A0D0CF59-D7D8-856E-00FB-6138689657A4}"/>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10199915" y="7958547"/>
              <a:ext cx="331796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43542</xdr:colOff>
      <xdr:row>27</xdr:row>
      <xdr:rowOff>130628</xdr:rowOff>
    </xdr:from>
    <xdr:to>
      <xdr:col>8</xdr:col>
      <xdr:colOff>43543</xdr:colOff>
      <xdr:row>42</xdr:row>
      <xdr:rowOff>97971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2A99A418-CEA4-E432-6299-9D6512F13C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48742" y="5127171"/>
              <a:ext cx="4191001"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87086</xdr:colOff>
      <xdr:row>16</xdr:row>
      <xdr:rowOff>174171</xdr:rowOff>
    </xdr:from>
    <xdr:to>
      <xdr:col>11</xdr:col>
      <xdr:colOff>0</xdr:colOff>
      <xdr:row>31</xdr:row>
      <xdr:rowOff>141514</xdr:rowOff>
    </xdr:to>
    <xdr:graphicFrame macro="">
      <xdr:nvGraphicFramePr>
        <xdr:cNvPr id="9" name="Chart 8">
          <a:extLst>
            <a:ext uri="{FF2B5EF4-FFF2-40B4-BE49-F238E27FC236}">
              <a16:creationId xmlns:a16="http://schemas.microsoft.com/office/drawing/2014/main" id="{2FB6516F-5751-1967-0135-BF7C9D657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272144</xdr:colOff>
      <xdr:row>17</xdr:row>
      <xdr:rowOff>54428</xdr:rowOff>
    </xdr:from>
    <xdr:to>
      <xdr:col>13</xdr:col>
      <xdr:colOff>1132114</xdr:colOff>
      <xdr:row>32</xdr:row>
      <xdr:rowOff>21770</xdr:rowOff>
    </xdr:to>
    <xdr:graphicFrame macro="">
      <xdr:nvGraphicFramePr>
        <xdr:cNvPr id="10" name="Chart 9">
          <a:extLst>
            <a:ext uri="{FF2B5EF4-FFF2-40B4-BE49-F238E27FC236}">
              <a16:creationId xmlns:a16="http://schemas.microsoft.com/office/drawing/2014/main" id="{C0C78673-3A58-0C53-5458-5830C3D2D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272142</xdr:colOff>
      <xdr:row>27</xdr:row>
      <xdr:rowOff>174170</xdr:rowOff>
    </xdr:from>
    <xdr:to>
      <xdr:col>18</xdr:col>
      <xdr:colOff>185056</xdr:colOff>
      <xdr:row>42</xdr:row>
      <xdr:rowOff>141513</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DBEBB5C8-31A9-9F59-351F-2722BEE0BC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759542" y="5170713"/>
              <a:ext cx="3418114"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185059</xdr:colOff>
      <xdr:row>11</xdr:row>
      <xdr:rowOff>141512</xdr:rowOff>
    </xdr:from>
    <xdr:to>
      <xdr:col>21</xdr:col>
      <xdr:colOff>402771</xdr:colOff>
      <xdr:row>26</xdr:row>
      <xdr:rowOff>108855</xdr:rowOff>
    </xdr:to>
    <xdr:graphicFrame macro="">
      <xdr:nvGraphicFramePr>
        <xdr:cNvPr id="12" name="Chart 11">
          <a:extLst>
            <a:ext uri="{FF2B5EF4-FFF2-40B4-BE49-F238E27FC236}">
              <a16:creationId xmlns:a16="http://schemas.microsoft.com/office/drawing/2014/main" id="{4DFF4BCC-AAB1-BD17-419D-E4C62C1B7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489857</xdr:colOff>
      <xdr:row>10</xdr:row>
      <xdr:rowOff>21771</xdr:rowOff>
    </xdr:from>
    <xdr:to>
      <xdr:col>23</xdr:col>
      <xdr:colOff>1251857</xdr:colOff>
      <xdr:row>13</xdr:row>
      <xdr:rowOff>10885</xdr:rowOff>
    </xdr:to>
    <xdr:sp macro="" textlink="$X$7">
      <xdr:nvSpPr>
        <xdr:cNvPr id="13" name="TextBox 12">
          <a:extLst>
            <a:ext uri="{FF2B5EF4-FFF2-40B4-BE49-F238E27FC236}">
              <a16:creationId xmlns:a16="http://schemas.microsoft.com/office/drawing/2014/main" id="{873E4664-64A9-335F-1A7D-0E8F4BEA15D3}"/>
            </a:ext>
          </a:extLst>
        </xdr:cNvPr>
        <xdr:cNvSpPr txBox="1"/>
      </xdr:nvSpPr>
      <xdr:spPr>
        <a:xfrm>
          <a:off x="20987657" y="1872342"/>
          <a:ext cx="1371600" cy="544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D6FD9-4B1A-4E21-89DA-DA9495334BD8}" type="TxLink">
            <a:rPr lang="en-US" sz="1100" b="0" i="0" u="none" strike="noStrike">
              <a:solidFill>
                <a:srgbClr val="000000"/>
              </a:solidFill>
              <a:latin typeface="Calibri"/>
              <a:cs typeface="Calibri"/>
            </a:rPr>
            <a:t> 1,73,98,480 </a:t>
          </a:fld>
          <a:endParaRPr lang="en-IN" sz="1100"/>
        </a:p>
      </xdr:txBody>
    </xdr:sp>
    <xdr:clientData/>
  </xdr:twoCellAnchor>
  <xdr:twoCellAnchor>
    <xdr:from>
      <xdr:col>25</xdr:col>
      <xdr:colOff>174172</xdr:colOff>
      <xdr:row>9</xdr:row>
      <xdr:rowOff>108857</xdr:rowOff>
    </xdr:from>
    <xdr:to>
      <xdr:col>25</xdr:col>
      <xdr:colOff>1545772</xdr:colOff>
      <xdr:row>12</xdr:row>
      <xdr:rowOff>97971</xdr:rowOff>
    </xdr:to>
    <xdr:sp macro="" textlink="$Z$7">
      <xdr:nvSpPr>
        <xdr:cNvPr id="14" name="TextBox 13">
          <a:extLst>
            <a:ext uri="{FF2B5EF4-FFF2-40B4-BE49-F238E27FC236}">
              <a16:creationId xmlns:a16="http://schemas.microsoft.com/office/drawing/2014/main" id="{185658F8-3B7A-4C4B-7DB3-D512CB150733}"/>
            </a:ext>
          </a:extLst>
        </xdr:cNvPr>
        <xdr:cNvSpPr txBox="1"/>
      </xdr:nvSpPr>
      <xdr:spPr>
        <a:xfrm>
          <a:off x="23894143" y="1774371"/>
          <a:ext cx="1371600" cy="544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BE4D05-BEAA-4253-A8DB-CE4CDC05A685}" type="TxLink">
            <a:rPr lang="en-US" sz="1100" b="0" i="0" u="none" strike="noStrike">
              <a:solidFill>
                <a:srgbClr val="000000"/>
              </a:solidFill>
              <a:latin typeface="Calibri"/>
              <a:cs typeface="Calibri"/>
            </a:rPr>
            <a:t> 86,992 </a:t>
          </a:fld>
          <a:endParaRPr lang="en-IN" sz="1100"/>
        </a:p>
      </xdr:txBody>
    </xdr:sp>
    <xdr:clientData/>
  </xdr:twoCellAnchor>
  <xdr:twoCellAnchor>
    <xdr:from>
      <xdr:col>0</xdr:col>
      <xdr:colOff>30480</xdr:colOff>
      <xdr:row>14</xdr:row>
      <xdr:rowOff>144780</xdr:rowOff>
    </xdr:from>
    <xdr:to>
      <xdr:col>2</xdr:col>
      <xdr:colOff>396240</xdr:colOff>
      <xdr:row>29</xdr:row>
      <xdr:rowOff>144780</xdr:rowOff>
    </xdr:to>
    <xdr:graphicFrame macro="">
      <xdr:nvGraphicFramePr>
        <xdr:cNvPr id="15" name="Chart 14">
          <a:extLst>
            <a:ext uri="{FF2B5EF4-FFF2-40B4-BE49-F238E27FC236}">
              <a16:creationId xmlns:a16="http://schemas.microsoft.com/office/drawing/2014/main" id="{9CCF2472-530E-F2B6-61A7-9B5693027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525780</xdr:colOff>
      <xdr:row>0</xdr:row>
      <xdr:rowOff>0</xdr:rowOff>
    </xdr:from>
    <xdr:to>
      <xdr:col>11</xdr:col>
      <xdr:colOff>502920</xdr:colOff>
      <xdr:row>2</xdr:row>
      <xdr:rowOff>38100</xdr:rowOff>
    </xdr:to>
    <xdr:sp macro="" textlink="">
      <xdr:nvSpPr>
        <xdr:cNvPr id="46" name="Rectangle 45">
          <a:extLst>
            <a:ext uri="{FF2B5EF4-FFF2-40B4-BE49-F238E27FC236}">
              <a16:creationId xmlns:a16="http://schemas.microsoft.com/office/drawing/2014/main" id="{6BCEC69E-880A-4ECC-34D4-833A07636305}"/>
            </a:ext>
          </a:extLst>
        </xdr:cNvPr>
        <xdr:cNvSpPr/>
      </xdr:nvSpPr>
      <xdr:spPr>
        <a:xfrm>
          <a:off x="3025140" y="0"/>
          <a:ext cx="4244340" cy="403860"/>
        </a:xfrm>
        <a:prstGeom prst="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22860</xdr:colOff>
      <xdr:row>2</xdr:row>
      <xdr:rowOff>68580</xdr:rowOff>
    </xdr:from>
    <xdr:to>
      <xdr:col>4</xdr:col>
      <xdr:colOff>480060</xdr:colOff>
      <xdr:row>29</xdr:row>
      <xdr:rowOff>45720</xdr:rowOff>
    </xdr:to>
    <xdr:sp macro="" textlink="">
      <xdr:nvSpPr>
        <xdr:cNvPr id="41" name="Rectangle 40">
          <a:extLst>
            <a:ext uri="{FF2B5EF4-FFF2-40B4-BE49-F238E27FC236}">
              <a16:creationId xmlns:a16="http://schemas.microsoft.com/office/drawing/2014/main" id="{BBDD1A48-8173-6DBF-D125-DA7B288FB60C}"/>
            </a:ext>
          </a:extLst>
        </xdr:cNvPr>
        <xdr:cNvSpPr/>
      </xdr:nvSpPr>
      <xdr:spPr>
        <a:xfrm>
          <a:off x="22860" y="434340"/>
          <a:ext cx="2895600" cy="4914900"/>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4</xdr:col>
      <xdr:colOff>495300</xdr:colOff>
      <xdr:row>2</xdr:row>
      <xdr:rowOff>38100</xdr:rowOff>
    </xdr:to>
    <xdr:sp macro="" textlink="">
      <xdr:nvSpPr>
        <xdr:cNvPr id="2" name="Rectangle 1">
          <a:extLst>
            <a:ext uri="{FF2B5EF4-FFF2-40B4-BE49-F238E27FC236}">
              <a16:creationId xmlns:a16="http://schemas.microsoft.com/office/drawing/2014/main" id="{0F0C0E18-668C-5A29-AC4E-39B7A577693B}"/>
            </a:ext>
          </a:extLst>
        </xdr:cNvPr>
        <xdr:cNvSpPr/>
      </xdr:nvSpPr>
      <xdr:spPr>
        <a:xfrm>
          <a:off x="0" y="0"/>
          <a:ext cx="2994660" cy="40386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11</xdr:col>
      <xdr:colOff>541020</xdr:colOff>
      <xdr:row>0</xdr:row>
      <xdr:rowOff>0</xdr:rowOff>
    </xdr:from>
    <xdr:to>
      <xdr:col>23</xdr:col>
      <xdr:colOff>441960</xdr:colOff>
      <xdr:row>2</xdr:row>
      <xdr:rowOff>15240</xdr:rowOff>
    </xdr:to>
    <xdr:sp macro="" textlink="">
      <xdr:nvSpPr>
        <xdr:cNvPr id="3" name="Rectangle 2">
          <a:extLst>
            <a:ext uri="{FF2B5EF4-FFF2-40B4-BE49-F238E27FC236}">
              <a16:creationId xmlns:a16="http://schemas.microsoft.com/office/drawing/2014/main" id="{538B2C87-9E8C-AF0B-1D10-EFB253AC1805}"/>
            </a:ext>
          </a:extLst>
        </xdr:cNvPr>
        <xdr:cNvSpPr/>
      </xdr:nvSpPr>
      <xdr:spPr>
        <a:xfrm>
          <a:off x="7307580" y="0"/>
          <a:ext cx="7216140" cy="381000"/>
        </a:xfrm>
        <a:prstGeom prst="rect">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548238</xdr:colOff>
      <xdr:row>0</xdr:row>
      <xdr:rowOff>115102</xdr:rowOff>
    </xdr:from>
    <xdr:to>
      <xdr:col>17</xdr:col>
      <xdr:colOff>258678</xdr:colOff>
      <xdr:row>1</xdr:row>
      <xdr:rowOff>115102</xdr:rowOff>
    </xdr:to>
    <xdr:sp macro="" textlink="'Kpi Creation'!$X$7">
      <xdr:nvSpPr>
        <xdr:cNvPr id="6" name="TextBox 5">
          <a:extLst>
            <a:ext uri="{FF2B5EF4-FFF2-40B4-BE49-F238E27FC236}">
              <a16:creationId xmlns:a16="http://schemas.microsoft.com/office/drawing/2014/main" id="{81B14ECD-B74D-4DD5-8D86-74FB61002EEC}"/>
            </a:ext>
          </a:extLst>
        </xdr:cNvPr>
        <xdr:cNvSpPr txBox="1"/>
      </xdr:nvSpPr>
      <xdr:spPr>
        <a:xfrm>
          <a:off x="9082638" y="115102"/>
          <a:ext cx="1539240" cy="1844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6BB75C-4DFF-46B5-A5E0-659521425207}" type="TxLink">
            <a:rPr lang="en-US" sz="1400" b="1" i="0" u="none" strike="noStrike">
              <a:solidFill>
                <a:srgbClr val="000000"/>
              </a:solidFill>
              <a:latin typeface="Calibri"/>
              <a:cs typeface="Calibri"/>
            </a:rPr>
            <a:pPr algn="ctr"/>
            <a:t> 1,73,98,480 </a:t>
          </a:fld>
          <a:endParaRPr lang="en-IN" sz="1400" b="1"/>
        </a:p>
      </xdr:txBody>
    </xdr:sp>
    <xdr:clientData/>
  </xdr:twoCellAnchor>
  <xdr:twoCellAnchor>
    <xdr:from>
      <xdr:col>20</xdr:col>
      <xdr:colOff>493924</xdr:colOff>
      <xdr:row>0</xdr:row>
      <xdr:rowOff>96252</xdr:rowOff>
    </xdr:from>
    <xdr:to>
      <xdr:col>22</xdr:col>
      <xdr:colOff>553452</xdr:colOff>
      <xdr:row>1</xdr:row>
      <xdr:rowOff>104273</xdr:rowOff>
    </xdr:to>
    <xdr:sp macro="" textlink="'Kpi Creation'!$Z$7">
      <xdr:nvSpPr>
        <xdr:cNvPr id="7" name="TextBox 6">
          <a:extLst>
            <a:ext uri="{FF2B5EF4-FFF2-40B4-BE49-F238E27FC236}">
              <a16:creationId xmlns:a16="http://schemas.microsoft.com/office/drawing/2014/main" id="{E44212DF-B8FD-4CF2-9F9B-2DEB126FD83F}"/>
            </a:ext>
          </a:extLst>
        </xdr:cNvPr>
        <xdr:cNvSpPr txBox="1"/>
      </xdr:nvSpPr>
      <xdr:spPr>
        <a:xfrm>
          <a:off x="12685924" y="96252"/>
          <a:ext cx="1278728" cy="1925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D6D673-D969-461C-A44C-B2279C5688B3}" type="TxLink">
            <a:rPr lang="en-US" sz="1400" b="1" i="0" u="none" strike="noStrike">
              <a:solidFill>
                <a:srgbClr val="000000"/>
              </a:solidFill>
              <a:latin typeface="Calibri"/>
              <a:cs typeface="Calibri"/>
            </a:rPr>
            <a:pPr algn="ctr"/>
            <a:t> 86,992 </a:t>
          </a:fld>
          <a:endParaRPr lang="en-IN" sz="1400" b="1"/>
        </a:p>
      </xdr:txBody>
    </xdr:sp>
    <xdr:clientData/>
  </xdr:twoCellAnchor>
  <xdr:twoCellAnchor>
    <xdr:from>
      <xdr:col>12</xdr:col>
      <xdr:colOff>355733</xdr:colOff>
      <xdr:row>0</xdr:row>
      <xdr:rowOff>107883</xdr:rowOff>
    </xdr:from>
    <xdr:to>
      <xdr:col>14</xdr:col>
      <xdr:colOff>500513</xdr:colOff>
      <xdr:row>1</xdr:row>
      <xdr:rowOff>138363</xdr:rowOff>
    </xdr:to>
    <xdr:sp macro="" textlink="">
      <xdr:nvSpPr>
        <xdr:cNvPr id="8" name="Rectangle 7">
          <a:extLst>
            <a:ext uri="{FF2B5EF4-FFF2-40B4-BE49-F238E27FC236}">
              <a16:creationId xmlns:a16="http://schemas.microsoft.com/office/drawing/2014/main" id="{629665FF-8C3A-B779-BD1E-4B156AD5AAB5}"/>
            </a:ext>
          </a:extLst>
        </xdr:cNvPr>
        <xdr:cNvSpPr/>
      </xdr:nvSpPr>
      <xdr:spPr>
        <a:xfrm>
          <a:off x="7670933" y="107883"/>
          <a:ext cx="1363980" cy="2149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FF00"/>
              </a:solidFill>
            </a:rPr>
            <a:t>Total Sales</a:t>
          </a:r>
        </a:p>
        <a:p>
          <a:pPr algn="ctr"/>
          <a:endParaRPr lang="en-IN" sz="1400" b="1">
            <a:solidFill>
              <a:srgbClr val="FFFF00"/>
            </a:solidFill>
          </a:endParaRPr>
        </a:p>
      </xdr:txBody>
    </xdr:sp>
    <xdr:clientData/>
  </xdr:twoCellAnchor>
  <xdr:twoCellAnchor>
    <xdr:from>
      <xdr:col>18</xdr:col>
      <xdr:colOff>208547</xdr:colOff>
      <xdr:row>0</xdr:row>
      <xdr:rowOff>90638</xdr:rowOff>
    </xdr:from>
    <xdr:to>
      <xdr:col>20</xdr:col>
      <xdr:colOff>444767</xdr:colOff>
      <xdr:row>1</xdr:row>
      <xdr:rowOff>121118</xdr:rowOff>
    </xdr:to>
    <xdr:sp macro="" textlink="">
      <xdr:nvSpPr>
        <xdr:cNvPr id="9" name="Rectangle 8">
          <a:extLst>
            <a:ext uri="{FF2B5EF4-FFF2-40B4-BE49-F238E27FC236}">
              <a16:creationId xmlns:a16="http://schemas.microsoft.com/office/drawing/2014/main" id="{5960218D-D93F-72C4-CF2D-81417D3172E0}"/>
            </a:ext>
          </a:extLst>
        </xdr:cNvPr>
        <xdr:cNvSpPr/>
      </xdr:nvSpPr>
      <xdr:spPr>
        <a:xfrm>
          <a:off x="11181347" y="90638"/>
          <a:ext cx="1455420" cy="2149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FF00"/>
              </a:solidFill>
            </a:rPr>
            <a:t>Average  Sales</a:t>
          </a:r>
        </a:p>
        <a:p>
          <a:pPr algn="ctr"/>
          <a:endParaRPr lang="en-IN" sz="1400" b="1">
            <a:solidFill>
              <a:srgbClr val="FFFF00"/>
            </a:solidFill>
          </a:endParaRPr>
        </a:p>
      </xdr:txBody>
    </xdr:sp>
    <xdr:clientData/>
  </xdr:twoCellAnchor>
  <xdr:twoCellAnchor editAs="oneCell">
    <xdr:from>
      <xdr:col>12</xdr:col>
      <xdr:colOff>416773</xdr:colOff>
      <xdr:row>0</xdr:row>
      <xdr:rowOff>139282</xdr:rowOff>
    </xdr:from>
    <xdr:to>
      <xdr:col>12</xdr:col>
      <xdr:colOff>572930</xdr:colOff>
      <xdr:row>1</xdr:row>
      <xdr:rowOff>111682</xdr:rowOff>
    </xdr:to>
    <xdr:pic>
      <xdr:nvPicPr>
        <xdr:cNvPr id="11" name="Graphic 10" descr="Bar graph with upward trend">
          <a:extLst>
            <a:ext uri="{FF2B5EF4-FFF2-40B4-BE49-F238E27FC236}">
              <a16:creationId xmlns:a16="http://schemas.microsoft.com/office/drawing/2014/main" id="{4D7C39E3-F081-8C19-A97C-77D66EBB78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25857" y="139282"/>
          <a:ext cx="156157" cy="155892"/>
        </a:xfrm>
        <a:prstGeom prst="rect">
          <a:avLst/>
        </a:prstGeom>
      </xdr:spPr>
    </xdr:pic>
    <xdr:clientData/>
  </xdr:twoCellAnchor>
  <xdr:twoCellAnchor editAs="oneCell">
    <xdr:from>
      <xdr:col>18</xdr:col>
      <xdr:colOff>215848</xdr:colOff>
      <xdr:row>0</xdr:row>
      <xdr:rowOff>103899</xdr:rowOff>
    </xdr:from>
    <xdr:to>
      <xdr:col>18</xdr:col>
      <xdr:colOff>407954</xdr:colOff>
      <xdr:row>1</xdr:row>
      <xdr:rowOff>111920</xdr:rowOff>
    </xdr:to>
    <xdr:pic>
      <xdr:nvPicPr>
        <xdr:cNvPr id="13" name="Graphic 12" descr="Statistics">
          <a:extLst>
            <a:ext uri="{FF2B5EF4-FFF2-40B4-BE49-F238E27FC236}">
              <a16:creationId xmlns:a16="http://schemas.microsoft.com/office/drawing/2014/main" id="{F8D18691-60D2-A383-9F27-11A3C08586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179473" y="103899"/>
          <a:ext cx="192106" cy="191513"/>
        </a:xfrm>
        <a:prstGeom prst="rect">
          <a:avLst/>
        </a:prstGeom>
      </xdr:spPr>
    </xdr:pic>
    <xdr:clientData/>
  </xdr:twoCellAnchor>
  <xdr:twoCellAnchor editAs="oneCell">
    <xdr:from>
      <xdr:col>0</xdr:col>
      <xdr:colOff>91440</xdr:colOff>
      <xdr:row>2</xdr:row>
      <xdr:rowOff>114301</xdr:rowOff>
    </xdr:from>
    <xdr:to>
      <xdr:col>2</xdr:col>
      <xdr:colOff>175260</xdr:colOff>
      <xdr:row>9</xdr:row>
      <xdr:rowOff>7620</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DF67E140-4BE7-4CC7-88AC-42A9AAE128D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1440" y="480061"/>
              <a:ext cx="136398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96261</xdr:colOff>
      <xdr:row>9</xdr:row>
      <xdr:rowOff>79466</xdr:rowOff>
    </xdr:from>
    <xdr:to>
      <xdr:col>2</xdr:col>
      <xdr:colOff>175261</xdr:colOff>
      <xdr:row>17</xdr:row>
      <xdr:rowOff>38100</xdr:rowOff>
    </xdr:to>
    <mc:AlternateContent xmlns:mc="http://schemas.openxmlformats.org/markup-compatibility/2006">
      <mc:Choice xmlns:a14="http://schemas.microsoft.com/office/drawing/2010/main" Requires="a14">
        <xdr:graphicFrame macro="">
          <xdr:nvGraphicFramePr>
            <xdr:cNvPr id="15" name="OrderStatus 1">
              <a:extLst>
                <a:ext uri="{FF2B5EF4-FFF2-40B4-BE49-F238E27FC236}">
                  <a16:creationId xmlns:a16="http://schemas.microsoft.com/office/drawing/2014/main" id="{FC6B5FA7-DAC8-468B-8A2D-CBC0DDC21084}"/>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96261" y="1725386"/>
              <a:ext cx="1359160" cy="1421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17</xdr:row>
      <xdr:rowOff>68966</xdr:rowOff>
    </xdr:from>
    <xdr:to>
      <xdr:col>2</xdr:col>
      <xdr:colOff>185882</xdr:colOff>
      <xdr:row>22</xdr:row>
      <xdr:rowOff>152400</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77048CFC-BCBD-4372-8017-F4AB6A9EA51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9060" y="3177926"/>
              <a:ext cx="1366982" cy="997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167640</xdr:colOff>
      <xdr:row>15</xdr:row>
      <xdr:rowOff>130316</xdr:rowOff>
    </xdr:from>
    <xdr:to>
      <xdr:col>23</xdr:col>
      <xdr:colOff>457200</xdr:colOff>
      <xdr:row>29</xdr:row>
      <xdr:rowOff>60960</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1CD9DC95-CD72-42E2-A8D7-984B8EF9E4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140440" y="2873516"/>
              <a:ext cx="3337560" cy="24909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524362</xdr:colOff>
      <xdr:row>15</xdr:row>
      <xdr:rowOff>141846</xdr:rowOff>
    </xdr:from>
    <xdr:to>
      <xdr:col>18</xdr:col>
      <xdr:colOff>99060</xdr:colOff>
      <xdr:row>29</xdr:row>
      <xdr:rowOff>45720</xdr:rowOff>
    </xdr:to>
    <xdr:graphicFrame macro="">
      <xdr:nvGraphicFramePr>
        <xdr:cNvPr id="27" name="Chart 26">
          <a:extLst>
            <a:ext uri="{FF2B5EF4-FFF2-40B4-BE49-F238E27FC236}">
              <a16:creationId xmlns:a16="http://schemas.microsoft.com/office/drawing/2014/main" id="{2F35942B-4513-49E0-A5A4-603F9FF48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190413</xdr:colOff>
      <xdr:row>2</xdr:row>
      <xdr:rowOff>87484</xdr:rowOff>
    </xdr:from>
    <xdr:to>
      <xdr:col>23</xdr:col>
      <xdr:colOff>457200</xdr:colOff>
      <xdr:row>15</xdr:row>
      <xdr:rowOff>99060</xdr:rowOff>
    </xdr:to>
    <xdr:graphicFrame macro="">
      <xdr:nvGraphicFramePr>
        <xdr:cNvPr id="28" name="Chart 27">
          <a:extLst>
            <a:ext uri="{FF2B5EF4-FFF2-40B4-BE49-F238E27FC236}">
              <a16:creationId xmlns:a16="http://schemas.microsoft.com/office/drawing/2014/main" id="{348C8DF3-DE9C-4E2B-AA27-CB60923D3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503722</xdr:colOff>
      <xdr:row>2</xdr:row>
      <xdr:rowOff>22860</xdr:rowOff>
    </xdr:from>
    <xdr:to>
      <xdr:col>11</xdr:col>
      <xdr:colOff>495300</xdr:colOff>
      <xdr:row>20</xdr:row>
      <xdr:rowOff>76200</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4AAF0164-1BD4-4CAC-8ADD-4B3C857314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003082" y="388620"/>
              <a:ext cx="4258778" cy="3345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533399</xdr:colOff>
      <xdr:row>2</xdr:row>
      <xdr:rowOff>73896</xdr:rowOff>
    </xdr:from>
    <xdr:to>
      <xdr:col>18</xdr:col>
      <xdr:colOff>121920</xdr:colOff>
      <xdr:row>15</xdr:row>
      <xdr:rowOff>76200</xdr:rowOff>
    </xdr:to>
    <xdr:graphicFrame macro="">
      <xdr:nvGraphicFramePr>
        <xdr:cNvPr id="30" name="Chart 29">
          <a:extLst>
            <a:ext uri="{FF2B5EF4-FFF2-40B4-BE49-F238E27FC236}">
              <a16:creationId xmlns:a16="http://schemas.microsoft.com/office/drawing/2014/main" id="{25D5952A-F001-4B29-854D-109254A7B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527782</xdr:colOff>
      <xdr:row>20</xdr:row>
      <xdr:rowOff>160251</xdr:rowOff>
    </xdr:from>
    <xdr:to>
      <xdr:col>11</xdr:col>
      <xdr:colOff>464820</xdr:colOff>
      <xdr:row>29</xdr:row>
      <xdr:rowOff>30480</xdr:rowOff>
    </xdr:to>
    <xdr:graphicFrame macro="">
      <xdr:nvGraphicFramePr>
        <xdr:cNvPr id="37" name="Chart 36">
          <a:extLst>
            <a:ext uri="{FF2B5EF4-FFF2-40B4-BE49-F238E27FC236}">
              <a16:creationId xmlns:a16="http://schemas.microsoft.com/office/drawing/2014/main" id="{90D4C847-F320-4720-AA69-F141E967D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106680</xdr:colOff>
      <xdr:row>23</xdr:row>
      <xdr:rowOff>22860</xdr:rowOff>
    </xdr:from>
    <xdr:to>
      <xdr:col>4</xdr:col>
      <xdr:colOff>419100</xdr:colOff>
      <xdr:row>29</xdr:row>
      <xdr:rowOff>30480</xdr:rowOff>
    </xdr:to>
    <mc:AlternateContent xmlns:mc="http://schemas.openxmlformats.org/markup-compatibility/2006">
      <mc:Choice xmlns:tsle="http://schemas.microsoft.com/office/drawing/2012/timeslicer" Requires="tsle">
        <xdr:graphicFrame macro="">
          <xdr:nvGraphicFramePr>
            <xdr:cNvPr id="38" name="OrderDate 1">
              <a:extLst>
                <a:ext uri="{FF2B5EF4-FFF2-40B4-BE49-F238E27FC236}">
                  <a16:creationId xmlns:a16="http://schemas.microsoft.com/office/drawing/2014/main" id="{22B2FA00-434A-416C-9C26-E32D59C20B20}"/>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106680" y="4229100"/>
              <a:ext cx="2811780"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213360</xdr:colOff>
      <xdr:row>0</xdr:row>
      <xdr:rowOff>45720</xdr:rowOff>
    </xdr:from>
    <xdr:to>
      <xdr:col>8</xdr:col>
      <xdr:colOff>175260</xdr:colOff>
      <xdr:row>1</xdr:row>
      <xdr:rowOff>175260</xdr:rowOff>
    </xdr:to>
    <xdr:sp macro="" textlink="">
      <xdr:nvSpPr>
        <xdr:cNvPr id="40" name="Rectangle: Beveled 39">
          <a:hlinkClick xmlns:r="http://schemas.openxmlformats.org/officeDocument/2006/relationships" r:id="rId11"/>
          <a:extLst>
            <a:ext uri="{FF2B5EF4-FFF2-40B4-BE49-F238E27FC236}">
              <a16:creationId xmlns:a16="http://schemas.microsoft.com/office/drawing/2014/main" id="{05CF251A-8D91-E39D-5A6D-9E3E65F8F2E7}"/>
            </a:ext>
          </a:extLst>
        </xdr:cNvPr>
        <xdr:cNvSpPr/>
      </xdr:nvSpPr>
      <xdr:spPr>
        <a:xfrm>
          <a:off x="3322320" y="45720"/>
          <a:ext cx="1790700" cy="312420"/>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KPIs</a:t>
          </a:r>
        </a:p>
      </xdr:txBody>
    </xdr:sp>
    <xdr:clientData/>
  </xdr:twoCellAnchor>
  <xdr:twoCellAnchor editAs="oneCell">
    <xdr:from>
      <xdr:col>0</xdr:col>
      <xdr:colOff>121920</xdr:colOff>
      <xdr:row>0</xdr:row>
      <xdr:rowOff>0</xdr:rowOff>
    </xdr:from>
    <xdr:to>
      <xdr:col>0</xdr:col>
      <xdr:colOff>586740</xdr:colOff>
      <xdr:row>2</xdr:row>
      <xdr:rowOff>21590</xdr:rowOff>
    </xdr:to>
    <xdr:pic>
      <xdr:nvPicPr>
        <xdr:cNvPr id="43" name="Graphic 42" descr="Bar chart">
          <a:extLst>
            <a:ext uri="{FF2B5EF4-FFF2-40B4-BE49-F238E27FC236}">
              <a16:creationId xmlns:a16="http://schemas.microsoft.com/office/drawing/2014/main" id="{EEEA6A04-BA74-A702-97A8-B0E07E0E3E1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1920" y="0"/>
          <a:ext cx="464820" cy="387350"/>
        </a:xfrm>
        <a:prstGeom prst="rect">
          <a:avLst/>
        </a:prstGeom>
      </xdr:spPr>
    </xdr:pic>
    <xdr:clientData/>
  </xdr:twoCellAnchor>
  <xdr:twoCellAnchor>
    <xdr:from>
      <xdr:col>0</xdr:col>
      <xdr:colOff>594360</xdr:colOff>
      <xdr:row>0</xdr:row>
      <xdr:rowOff>0</xdr:rowOff>
    </xdr:from>
    <xdr:to>
      <xdr:col>4</xdr:col>
      <xdr:colOff>403860</xdr:colOff>
      <xdr:row>2</xdr:row>
      <xdr:rowOff>38100</xdr:rowOff>
    </xdr:to>
    <xdr:sp macro="" textlink="">
      <xdr:nvSpPr>
        <xdr:cNvPr id="44" name="TextBox 43">
          <a:extLst>
            <a:ext uri="{FF2B5EF4-FFF2-40B4-BE49-F238E27FC236}">
              <a16:creationId xmlns:a16="http://schemas.microsoft.com/office/drawing/2014/main" id="{61B51C6F-C475-6CAD-B1C6-39BD1AA4E0BA}"/>
            </a:ext>
          </a:extLst>
        </xdr:cNvPr>
        <xdr:cNvSpPr txBox="1"/>
      </xdr:nvSpPr>
      <xdr:spPr>
        <a:xfrm>
          <a:off x="594360" y="0"/>
          <a:ext cx="23088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Sales Dashboard</a:t>
          </a:r>
          <a:r>
            <a:rPr lang="en-IN" sz="1800" b="1" baseline="0">
              <a:solidFill>
                <a:schemeClr val="bg1"/>
              </a:solidFill>
            </a:rPr>
            <a:t> 2026</a:t>
          </a:r>
        </a:p>
        <a:p>
          <a:endParaRPr lang="en-IN" sz="1800" b="1">
            <a:solidFill>
              <a:schemeClr val="bg1"/>
            </a:solidFill>
          </a:endParaRPr>
        </a:p>
      </xdr:txBody>
    </xdr:sp>
    <xdr:clientData/>
  </xdr:twoCellAnchor>
  <xdr:twoCellAnchor>
    <xdr:from>
      <xdr:col>8</xdr:col>
      <xdr:colOff>327660</xdr:colOff>
      <xdr:row>0</xdr:row>
      <xdr:rowOff>38100</xdr:rowOff>
    </xdr:from>
    <xdr:to>
      <xdr:col>11</xdr:col>
      <xdr:colOff>327660</xdr:colOff>
      <xdr:row>2</xdr:row>
      <xdr:rowOff>0</xdr:rowOff>
    </xdr:to>
    <xdr:sp macro="" textlink="">
      <xdr:nvSpPr>
        <xdr:cNvPr id="39" name="Rectangle: Beveled 38">
          <a:hlinkClick xmlns:r="http://schemas.openxmlformats.org/officeDocument/2006/relationships" r:id="rId14"/>
          <a:extLst>
            <a:ext uri="{FF2B5EF4-FFF2-40B4-BE49-F238E27FC236}">
              <a16:creationId xmlns:a16="http://schemas.microsoft.com/office/drawing/2014/main" id="{85F48182-ED31-5BB5-7D8F-7FFEB0FB0157}"/>
            </a:ext>
          </a:extLst>
        </xdr:cNvPr>
        <xdr:cNvSpPr/>
      </xdr:nvSpPr>
      <xdr:spPr>
        <a:xfrm>
          <a:off x="5265420" y="38100"/>
          <a:ext cx="1828800" cy="327660"/>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Data</a:t>
          </a:r>
        </a:p>
      </xdr:txBody>
    </xdr:sp>
    <xdr:clientData/>
  </xdr:twoCellAnchor>
  <xdr:twoCellAnchor editAs="oneCell">
    <xdr:from>
      <xdr:col>2</xdr:col>
      <xdr:colOff>205740</xdr:colOff>
      <xdr:row>2</xdr:row>
      <xdr:rowOff>121920</xdr:rowOff>
    </xdr:from>
    <xdr:to>
      <xdr:col>4</xdr:col>
      <xdr:colOff>441960</xdr:colOff>
      <xdr:row>22</xdr:row>
      <xdr:rowOff>152400</xdr:rowOff>
    </xdr:to>
    <mc:AlternateContent xmlns:mc="http://schemas.openxmlformats.org/markup-compatibility/2006">
      <mc:Choice xmlns:a14="http://schemas.microsoft.com/office/drawing/2010/main" Requires="a14">
        <xdr:graphicFrame macro="">
          <xdr:nvGraphicFramePr>
            <xdr:cNvPr id="47" name="State 1">
              <a:extLst>
                <a:ext uri="{FF2B5EF4-FFF2-40B4-BE49-F238E27FC236}">
                  <a16:creationId xmlns:a16="http://schemas.microsoft.com/office/drawing/2014/main" id="{6961839B-A885-4E31-B4E5-2FB837009A4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485900" y="487680"/>
              <a:ext cx="1455420" cy="3688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 refreshedDate="46203.755760763888" backgroundQuery="1" createdVersion="8" refreshedVersion="8" minRefreshableVersion="3" recordCount="0" supportSubquery="1" supportAdvancedDrill="1" xr:uid="{2CA45581-785E-40D7-84FD-F409616F3A39}">
  <cacheSource type="external" connectionId="1"/>
  <cacheFields count="3">
    <cacheField name="[Range].[OrderDate (Month)].[OrderDate (Month)]" caption="OrderDate (Month)" numFmtId="0" hierarchy="21" level="1">
      <sharedItems count="7">
        <s v="Apr"/>
        <s v="May"/>
        <s v="Jun"/>
        <s v="Jul"/>
        <s v="Aug"/>
        <s v="Sep"/>
        <s v="Oct"/>
      </sharedItems>
    </cacheField>
    <cacheField name="[Measures].[Sum of SalesAmount]" caption="Sum of SalesAmount" numFmtId="0" hierarchy="25" level="32767"/>
    <cacheField name="[Range].[Category].[Category]" caption="Category" numFmtId="0" hierarchy="9" level="1">
      <sharedItems containsSemiMixedTypes="0" containsNonDate="0" containsString="0"/>
    </cacheField>
  </cacheFields>
  <cacheHierarchies count="27">
    <cacheHierarchy uniqueName="[Range].[OrderID]" caption="OrderID" attribute="1" defaultMemberUniqueName="[Range].[OrderID].[All]" allUniqueName="[Range].[OrderID].[All]" dimensionUniqueName="[Range]" displayFolder="" count="2"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2" memberValueDatatype="130" unbalanced="0"/>
    <cacheHierarchy uniqueName="[Range].[Brand]" caption="Brand" attribute="1" defaultMemberUniqueName="[Range].[Brand].[All]" allUniqueName="[Range].[Bran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20" unbalanced="0"/>
    <cacheHierarchy uniqueName="[Range].[DiscountPercent]" caption="DiscountPercent" attribute="1" defaultMemberUniqueName="[Range].[DiscountPercent].[All]" allUniqueName="[Range].[DiscountPercent].[All]" dimensionUniqueName="[Range]" displayFolder="" count="2" memberValueDatatype="20" unbalanced="0"/>
    <cacheHierarchy uniqueName="[Range].[DiscountAmount]" caption="DiscountAmount" attribute="1" defaultMemberUniqueName="[Range].[DiscountAmount].[All]" allUniqueName="[Range].[DiscountAmount].[All]" dimensionUniqueName="[Range]" displayFolder="" count="2" memberValueDatatype="5" unbalanced="0"/>
    <cacheHierarchy uniqueName="[Range].[SalesAmount]" caption="SalesAmount" attribute="1" defaultMemberUniqueName="[Range].[SalesAmount].[All]" allUniqueName="[Range].[SalesAmount].[All]" dimensionUniqueName="[Range]" displayFolder="" count="2" memberValueDatatype="5" unbalanced="0"/>
    <cacheHierarchy uniqueName="[Range].[CostPrice]" caption="CostPrice" attribute="1" defaultMemberUniqueName="[Range].[CostPrice].[All]" allUniqueName="[Range].[CostPrice].[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PaymentMode]" caption="PaymentMode" attribute="1" defaultMemberUniqueName="[Range].[PaymentMode].[All]" allUniqueName="[Range].[PaymentMode].[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2" memberValueDatatype="130" unbalanced="0">
      <fieldsUsage count="2">
        <fieldUsage x="-1"/>
        <fieldUsage x="0"/>
      </fieldsUsage>
    </cacheHierarchy>
    <cacheHierarchy uniqueName="[Range].[OrderDate (Month Index)]" caption="OrderDate (Month Index)" attribute="1" defaultMemberUniqueName="[Range].[OrderDate (Month Index)].[All]" allUniqueName="[Range].[Order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Amount]" caption="Sum of SalesAmount"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Average of SalesAmount]" caption="Average of SalesAmoun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 refreshedDate="46203.755761574073" backgroundQuery="1" createdVersion="8" refreshedVersion="8" minRefreshableVersion="3" recordCount="0" supportSubquery="1" supportAdvancedDrill="1" xr:uid="{DB6EF870-39E5-483A-8250-81120D3EAA2D}">
  <cacheSource type="external" connectionId="1"/>
  <cacheFields count="2">
    <cacheField name="[Measures].[Average of SalesAmount]" caption="Average of SalesAmount" numFmtId="0" hierarchy="26" level="32767"/>
    <cacheField name="[Range].[Category].[Category]" caption="Category" numFmtId="0" hierarchy="9" level="1">
      <sharedItems containsSemiMixedTypes="0" containsNonDate="0" containsString="0"/>
    </cacheField>
  </cacheFields>
  <cacheHierarchies count="2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ercent]" caption="DiscountPercent" attribute="1" defaultMemberUniqueName="[Range].[DiscountPercent].[All]" allUniqueName="[Range].[DiscountPerce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SalesAmount]" caption="SalesAmount" attribute="1" defaultMemberUniqueName="[Range].[SalesAmount].[All]" allUniqueName="[Range].[SalesAmount].[All]" dimensionUniqueName="[Range]" displayFolder="" count="0" memberValueDatatype="5" unbalanced="0"/>
    <cacheHierarchy uniqueName="[Range].[CostPrice]" caption="CostPrice" attribute="1" defaultMemberUniqueName="[Range].[CostPrice].[All]" allUniqueName="[Range].[Cost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Amount]" caption="Sum of SalesAmount" measure="1" displayFolder="" measureGroup="Range" count="0" hidden="1">
      <extLst>
        <ext xmlns:x15="http://schemas.microsoft.com/office/spreadsheetml/2010/11/main" uri="{B97F6D7D-B522-45F9-BDA1-12C45D357490}">
          <x15:cacheHierarchy aggregatedColumn="16"/>
        </ext>
      </extLst>
    </cacheHierarchy>
    <cacheHierarchy uniqueName="[Measures].[Average of SalesAmount]" caption="Average of Sales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 refreshedDate="46203.755762499997" backgroundQuery="1" createdVersion="8" refreshedVersion="8" minRefreshableVersion="3" recordCount="0" supportSubquery="1" supportAdvancedDrill="1" xr:uid="{B802DA84-1E1C-43B5-B5BB-65B27864E561}">
  <cacheSource type="external" connectionId="1"/>
  <cacheFields count="3">
    <cacheField name="[Measures].[Sum of SalesAmount]" caption="Sum of SalesAmount" numFmtId="0" hierarchy="25" level="32767"/>
    <cacheField name="[Range].[Brand].[Brand]" caption="Brand" numFmtId="0" hierarchy="11" level="1">
      <sharedItems count="8">
        <s v="Apple"/>
        <s v="Boat"/>
        <s v="Dell"/>
        <s v="HP"/>
        <s v="Lenovo"/>
        <s v="Nike"/>
        <s v="Samsung"/>
        <s v="Sony"/>
      </sharedItems>
    </cacheField>
    <cacheField name="[Range].[Category].[Category]" caption="Category" numFmtId="0" hierarchy="9" level="1">
      <sharedItems containsSemiMixedTypes="0" containsNonDate="0" containsString="0"/>
    </cacheField>
  </cacheFields>
  <cacheHierarchies count="2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ercent]" caption="DiscountPercent" attribute="1" defaultMemberUniqueName="[Range].[DiscountPercent].[All]" allUniqueName="[Range].[DiscountPerce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SalesAmount]" caption="SalesAmount" attribute="1" defaultMemberUniqueName="[Range].[SalesAmount].[All]" allUniqueName="[Range].[SalesAmount].[All]" dimensionUniqueName="[Range]" displayFolder="" count="0" memberValueDatatype="5" unbalanced="0"/>
    <cacheHierarchy uniqueName="[Range].[CostPrice]" caption="CostPrice" attribute="1" defaultMemberUniqueName="[Range].[CostPrice].[All]" allUniqueName="[Range].[Cost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Amount]" caption="Sum of Sales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SalesAmount]" caption="Average of SalesAmoun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 refreshedDate="46203.755763078705" backgroundQuery="1" createdVersion="8" refreshedVersion="8" minRefreshableVersion="3" recordCount="0" supportSubquery="1" supportAdvancedDrill="1" xr:uid="{C319E7FE-0356-4500-96DB-10E877C6ABEB}">
  <cacheSource type="external" connectionId="1"/>
  <cacheFields count="3">
    <cacheField name="[Measures].[Sum of SalesAmount]" caption="Sum of SalesAmount" numFmtId="0" hierarchy="25" level="32767"/>
    <cacheField name="[Range].[OrderStatus].[OrderStatus]" caption="OrderStatus" numFmtId="0" hierarchy="20" level="1">
      <sharedItems count="4">
        <s v="Cancelled"/>
        <s v="Delivered"/>
        <s v="Processing"/>
        <s v="Shipped"/>
      </sharedItems>
    </cacheField>
    <cacheField name="[Range].[Category].[Category]" caption="Category" numFmtId="0" hierarchy="9" level="1">
      <sharedItems containsSemiMixedTypes="0" containsNonDate="0" containsString="0"/>
    </cacheField>
  </cacheFields>
  <cacheHierarchies count="2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ercent]" caption="DiscountPercent" attribute="1" defaultMemberUniqueName="[Range].[DiscountPercent].[All]" allUniqueName="[Range].[DiscountPerce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SalesAmount]" caption="SalesAmount" attribute="1" defaultMemberUniqueName="[Range].[SalesAmount].[All]" allUniqueName="[Range].[SalesAmount].[All]" dimensionUniqueName="[Range]" displayFolder="" count="0" memberValueDatatype="5" unbalanced="0"/>
    <cacheHierarchy uniqueName="[Range].[CostPrice]" caption="CostPrice" attribute="1" defaultMemberUniqueName="[Range].[CostPrice].[All]" allUniqueName="[Range].[Cost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OrderStatus]" caption="OrderStatus" attribute="1" defaultMemberUniqueName="[Range].[OrderStatus].[All]" allUniqueName="[Range].[OrderStatus].[All]" dimensionUniqueName="[Range]" displayFolder="" count="2" memberValueDatatype="130" unbalanced="0">
      <fieldsUsage count="2">
        <fieldUsage x="-1"/>
        <fieldUsage x="1"/>
      </fieldsUsage>
    </cacheHierarchy>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Amount]" caption="Sum of Sales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SalesAmount]" caption="Average of SalesAmoun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 refreshedDate="46203.755763657406" backgroundQuery="1" createdVersion="8" refreshedVersion="8" minRefreshableVersion="3" recordCount="0" supportSubquery="1" supportAdvancedDrill="1" xr:uid="{ED88B8BC-698A-41A6-B30A-267D2204958B}">
  <cacheSource type="external" connectionId="1"/>
  <cacheFields count="3">
    <cacheField name="[Measures].[Sum of SalesAmount]" caption="Sum of SalesAmount" numFmtId="0" hierarchy="25" level="32767"/>
    <cacheField name="[Range].[PaymentMode].[PaymentMode]" caption="PaymentMode" numFmtId="0" hierarchy="19" level="1">
      <sharedItems count="5">
        <s v="Cash"/>
        <s v="Credit Card"/>
        <s v="Debit Card"/>
        <s v="Net Banking"/>
        <s v="UPI"/>
      </sharedItems>
    </cacheField>
    <cacheField name="[Range].[Category].[Category]" caption="Category" numFmtId="0" hierarchy="9" level="1">
      <sharedItems containsSemiMixedTypes="0" containsNonDate="0" containsString="0"/>
    </cacheField>
  </cacheFields>
  <cacheHierarchies count="2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ercent]" caption="DiscountPercent" attribute="1" defaultMemberUniqueName="[Range].[DiscountPercent].[All]" allUniqueName="[Range].[DiscountPerce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SalesAmount]" caption="SalesAmount" attribute="1" defaultMemberUniqueName="[Range].[SalesAmount].[All]" allUniqueName="[Range].[SalesAmount].[All]" dimensionUniqueName="[Range]" displayFolder="" count="0" memberValueDatatype="5" unbalanced="0"/>
    <cacheHierarchy uniqueName="[Range].[CostPrice]" caption="CostPrice" attribute="1" defaultMemberUniqueName="[Range].[CostPrice].[All]" allUniqueName="[Range].[Cost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2" memberValueDatatype="130" unbalanced="0">
      <fieldsUsage count="2">
        <fieldUsage x="-1"/>
        <fieldUsage x="1"/>
      </fieldsUsage>
    </cacheHierarchy>
    <cacheHierarchy uniqueName="[Range].[OrderStatus]" caption="OrderStatus" attribute="1" defaultMemberUniqueName="[Range].[OrderStatus].[All]" allUniqueName="[Range].[OrderStatus].[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Amount]" caption="Sum of Sales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SalesAmount]" caption="Average of SalesAmoun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 refreshedDate="46203.755764236113" backgroundQuery="1" createdVersion="8" refreshedVersion="8" minRefreshableVersion="3" recordCount="0" supportSubquery="1" supportAdvancedDrill="1" xr:uid="{96C422BE-6B02-47DD-8EB7-9E275B7BAD7C}">
  <cacheSource type="external" connectionId="1"/>
  <cacheFields count="3">
    <cacheField name="[Measures].[Sum of SalesAmount]" caption="Sum of SalesAmount" numFmtId="0" hierarchy="25" level="32767"/>
    <cacheField name="[Range].[Product].[Product]" caption="Product" numFmtId="0" hierarchy="8" level="1">
      <sharedItems count="8">
        <s v="Backpack"/>
        <s v="Camera"/>
        <s v="Headphones"/>
        <s v="Keyboard"/>
        <s v="Laptop"/>
        <s v="Phone"/>
        <s v="Shoes"/>
        <s v="Watch"/>
      </sharedItems>
    </cacheField>
    <cacheField name="[Range].[Category].[Category]" caption="Category" numFmtId="0" hierarchy="9" level="1">
      <sharedItems containsSemiMixedTypes="0" containsNonDate="0" containsString="0"/>
    </cacheField>
  </cacheFields>
  <cacheHierarchies count="2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ercent]" caption="DiscountPercent" attribute="1" defaultMemberUniqueName="[Range].[DiscountPercent].[All]" allUniqueName="[Range].[DiscountPerce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SalesAmount]" caption="SalesAmount" attribute="1" defaultMemberUniqueName="[Range].[SalesAmount].[All]" allUniqueName="[Range].[SalesAmount].[All]" dimensionUniqueName="[Range]" displayFolder="" count="0" memberValueDatatype="5" unbalanced="0"/>
    <cacheHierarchy uniqueName="[Range].[CostPrice]" caption="CostPrice" attribute="1" defaultMemberUniqueName="[Range].[CostPrice].[All]" allUniqueName="[Range].[Cost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Amount]" caption="Sum of Sales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SalesAmount]" caption="Average of SalesAmoun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 refreshedDate="46203.755764814814" backgroundQuery="1" createdVersion="8" refreshedVersion="8" minRefreshableVersion="3" recordCount="0" supportSubquery="1" supportAdvancedDrill="1" xr:uid="{FE46290C-B949-41FC-894A-4948CDCC9157}">
  <cacheSource type="external" connectionId="1"/>
  <cacheFields count="3">
    <cacheField name="[Measures].[Sum of SalesAmount]" caption="Sum of SalesAmount" numFmtId="0" hierarchy="25" level="32767"/>
    <cacheField name="[Range].[State].[State]" caption="State" numFmtId="0" hierarchy="7" level="1">
      <sharedItems count="9">
        <s v="Delhi"/>
        <s v="Gujarat"/>
        <s v="Karnataka"/>
        <s v="Maharashtra"/>
        <s v="Rajasthan"/>
        <s v="Tamil Nadu"/>
        <s v="Telangana"/>
        <s v="Uttar Pradesh"/>
        <s v="West Bengal"/>
      </sharedItems>
    </cacheField>
    <cacheField name="[Range].[Category].[Category]" caption="Category" numFmtId="0" hierarchy="9" level="1">
      <sharedItems containsSemiMixedTypes="0" containsNonDate="0" containsString="0"/>
    </cacheField>
  </cacheFields>
  <cacheHierarchies count="2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ercent]" caption="DiscountPercent" attribute="1" defaultMemberUniqueName="[Range].[DiscountPercent].[All]" allUniqueName="[Range].[DiscountPerce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SalesAmount]" caption="SalesAmount" attribute="1" defaultMemberUniqueName="[Range].[SalesAmount].[All]" allUniqueName="[Range].[SalesAmount].[All]" dimensionUniqueName="[Range]" displayFolder="" count="0" memberValueDatatype="5" unbalanced="0"/>
    <cacheHierarchy uniqueName="[Range].[CostPrice]" caption="CostPrice" attribute="1" defaultMemberUniqueName="[Range].[CostPrice].[All]" allUniqueName="[Range].[Cost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Amount]" caption="Sum of Sales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SalesAmount]" caption="Average of SalesAmoun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 refreshedDate="46203.755765046299" backgroundQuery="1" createdVersion="8" refreshedVersion="8" minRefreshableVersion="3" recordCount="0" supportSubquery="1" supportAdvancedDrill="1" xr:uid="{7578FCF9-0D99-4EAF-9B41-19A8CD224ED2}">
  <cacheSource type="external" connectionId="1"/>
  <cacheFields count="2">
    <cacheField name="[Measures].[Sum of SalesAmount]" caption="Sum of SalesAmount" numFmtId="0" hierarchy="25" level="32767"/>
    <cacheField name="[Range].[Category].[Category]" caption="Category" numFmtId="0" hierarchy="9" level="1">
      <sharedItems containsSemiMixedTypes="0" containsNonDate="0" containsString="0"/>
    </cacheField>
  </cacheFields>
  <cacheHierarchies count="2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ercent]" caption="DiscountPercent" attribute="1" defaultMemberUniqueName="[Range].[DiscountPercent].[All]" allUniqueName="[Range].[DiscountPerce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SalesAmount]" caption="SalesAmount" attribute="1" defaultMemberUniqueName="[Range].[SalesAmount].[All]" allUniqueName="[Range].[SalesAmount].[All]" dimensionUniqueName="[Range]" displayFolder="" count="0" memberValueDatatype="5" unbalanced="0"/>
    <cacheHierarchy uniqueName="[Range].[CostPrice]" caption="CostPrice" attribute="1" defaultMemberUniqueName="[Range].[CostPrice].[All]" allUniqueName="[Range].[Cost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Amount]" caption="Sum of Sales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SalesAmount]" caption="Average of SalesAmoun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 refreshedDate="46203.657758333335" backgroundQuery="1" createdVersion="3" refreshedVersion="8" minRefreshableVersion="3" recordCount="0" supportSubquery="1" supportAdvancedDrill="1" xr:uid="{FFD392B9-63A8-42D0-B7C9-3914D8597029}">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ercent]" caption="DiscountPercent" attribute="1" defaultMemberUniqueName="[Range].[DiscountPercent].[All]" allUniqueName="[Range].[DiscountPerce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SalesAmount]" caption="SalesAmount" attribute="1" defaultMemberUniqueName="[Range].[SalesAmount].[All]" allUniqueName="[Range].[SalesAmount].[All]" dimensionUniqueName="[Range]" displayFolder="" count="0" memberValueDatatype="5" unbalanced="0"/>
    <cacheHierarchy uniqueName="[Range].[CostPrice]" caption="CostPrice" attribute="1" defaultMemberUniqueName="[Range].[CostPrice].[All]" allUniqueName="[Range].[Cost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Amount]" caption="Sum of SalesAmount" measure="1" displayFolder="" measureGroup="Range" count="0" hidden="1">
      <extLst>
        <ext xmlns:x15="http://schemas.microsoft.com/office/spreadsheetml/2010/11/main" uri="{B97F6D7D-B522-45F9-BDA1-12C45D357490}">
          <x15:cacheHierarchy aggregatedColumn="16"/>
        </ext>
      </extLst>
    </cacheHierarchy>
    <cacheHierarchy uniqueName="[Measures].[Average of SalesAmount]" caption="Average of SalesAmount"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25482715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 refreshedDate="46203.658315624998" backgroundQuery="1" createdVersion="3" refreshedVersion="8" minRefreshableVersion="3" recordCount="0" supportSubquery="1" supportAdvancedDrill="1" xr:uid="{00658424-12A1-447A-A597-648BFED50429}">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Percent]" caption="DiscountPercent" attribute="1" defaultMemberUniqueName="[Range].[DiscountPercent].[All]" allUniqueName="[Range].[DiscountPerce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SalesAmount]" caption="SalesAmount" attribute="1" defaultMemberUniqueName="[Range].[SalesAmount].[All]" allUniqueName="[Range].[SalesAmount].[All]" dimensionUniqueName="[Range]" displayFolder="" count="0" memberValueDatatype="5" unbalanced="0"/>
    <cacheHierarchy uniqueName="[Range].[CostPrice]" caption="CostPrice" attribute="1" defaultMemberUniqueName="[Range].[CostPrice].[All]" allUniqueName="[Range].[CostPric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aymentMode]" caption="PaymentMode" attribute="1" defaultMemberUniqueName="[Range].[PaymentMode].[All]" allUniqueName="[Range].[PaymentMode].[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Amount]" caption="Sum of SalesAmount" measure="1" displayFolder="" measureGroup="Range" count="0" hidden="1">
      <extLst>
        <ext xmlns:x15="http://schemas.microsoft.com/office/spreadsheetml/2010/11/main" uri="{B97F6D7D-B522-45F9-BDA1-12C45D357490}">
          <x15:cacheHierarchy aggregatedColumn="16"/>
        </ext>
      </extLst>
    </cacheHierarchy>
    <cacheHierarchy uniqueName="[Measures].[Average of SalesAmount]" caption="Average of SalesAmount"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2635364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AB4208-CA30-43D5-A9E3-5A04E9E83507}" name="Brand" cacheId="219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fieldListSortAscending="1">
  <location ref="I3:J1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SalesAmount" fld="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C35AC7-9B59-46C5-B483-F0524F2A939D}" name="TotalSales" cacheId="22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fieldListSortAscending="1">
  <location ref="X3:X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Amount" fld="0" baseField="0" baseItem="0" numFmtId="165"/>
  </dataFields>
  <formats count="1">
    <format dxfId="39">
      <pivotArea outline="0" collapsedLevelsAreSubtotals="1" fieldPosition="0"/>
    </format>
  </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F0C0AB-097C-4796-8CEE-2C5A13B7B015}" name="Product" cacheId="220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fieldListSortAscending="1">
  <location ref="E3:F11" firstHeaderRow="1" firstDataRow="1" firstDataCol="1"/>
  <pivotFields count="3">
    <pivotField dataField="1" subtotalTop="0" showAll="0" defaultSubtotal="0"/>
    <pivotField axis="axisRow" allDrilled="1" subtotalTop="0" showAll="0" dataSourceSort="1" defaultSubtotal="0">
      <items count="8">
        <item x="0" e="0"/>
        <item x="1" e="0"/>
        <item x="2" e="0"/>
        <item x="3" e="0"/>
        <item x="4" e="0"/>
        <item x="5" e="0"/>
        <item x="6" e="0"/>
        <item x="7" e="0"/>
      </items>
    </pivotField>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name="Sum of SalesAmount" fld="0" showDataAs="percentOfTotal" baseField="0" baseItem="0" numFmtId="10"/>
  </dataField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127D5D-4CE7-46FA-9539-DD7510F38F97}" name="Month" cacheId="219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fieldListSortAscending="1">
  <location ref="A3:B11" firstHeaderRow="1" firstDataRow="1" firstDataCol="1"/>
  <pivotFields count="3">
    <pivotField axis="axisRow" allDrilled="1" subtotalTop="0" showAll="0" dataSourceSort="1" defaultSubtotal="0">
      <items count="7">
        <item x="0" e="0"/>
        <item x="1" e="0"/>
        <item x="2" e="0"/>
        <item x="3" e="0"/>
        <item x="4" e="0"/>
        <item x="5" e="0"/>
        <item x="6" e="0"/>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alesAmount" fld="1" showDataAs="percentOfTotal" baseField="0" baseItem="0" numFmtId="10"/>
  </dataFields>
  <formats count="1">
    <format dxfId="41">
      <pivotArea collapsedLevelsAreSubtotals="1" fieldPosition="0">
        <references count="1">
          <reference field="0" count="1">
            <x v="0"/>
          </reference>
        </references>
      </pivotArea>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66FFC1-DEF9-4520-8F27-A3EB833921EB}" name="OrderStatus" cacheId="220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fieldListSortAscending="1">
  <location ref="T3:U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Amount" fld="0"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FDCDB2-70A1-4934-83C5-A6A9382F4DDC}" name="State" cacheId="2209"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fieldListSortAscending="1">
  <location ref="P3:Q12"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9">
    <i>
      <x/>
    </i>
    <i>
      <x v="1"/>
    </i>
    <i>
      <x v="2"/>
    </i>
    <i>
      <x v="3"/>
    </i>
    <i>
      <x v="4"/>
    </i>
    <i>
      <x v="5"/>
    </i>
    <i>
      <x v="6"/>
    </i>
    <i>
      <x v="7"/>
    </i>
    <i>
      <x v="8"/>
    </i>
  </rowItems>
  <colItems count="1">
    <i/>
  </colItems>
  <dataFields count="1">
    <dataField name="Sum of SalesAmount" fld="0" showDataAs="percentOfTotal" baseField="0" baseItem="0" numFmtId="10"/>
  </dataField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E533FF-9EEB-4FFD-8682-81A0F6D033BF}" name="Payment" cacheId="220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fieldListSortAscending="1">
  <location ref="M3:N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Amount" fld="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5D13DB-EE36-4691-8C5F-C1C0170DA7AE}" name="Avg sales" cacheId="219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fieldListSortAscending="1">
  <location ref="Z4:Z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esAmount" fld="0" subtotal="average" baseField="0" baseItem="0" numFmtId="165"/>
  </dataFields>
  <formats count="1">
    <format dxfId="40">
      <pivotArea outline="0" collapsedLevelsAreSubtotals="1" fieldPosition="0"/>
    </format>
  </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Average of Sales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U$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BD4278-44AF-4D3F-96F8-A0E3FF6352B5}" sourceName="[Range].[Category]">
  <pivotTables>
    <pivotTable tabId="3" name="Month"/>
    <pivotTable tabId="3" name="Avg sales"/>
    <pivotTable tabId="3" name="Brand"/>
    <pivotTable tabId="3" name="OrderStatus"/>
    <pivotTable tabId="3" name="Payment"/>
    <pivotTable tabId="3" name="Product"/>
    <pivotTable tabId="3" name="State"/>
    <pivotTable tabId="3" name="TotalSales"/>
  </pivotTables>
  <data>
    <olap pivotCacheId="1254827159">
      <levels count="2">
        <level uniqueName="[Range].[Category].[(All)]" sourceCaption="(All)" count="0"/>
        <level uniqueName="[Range].[Category].[Category]" sourceCaption="Category" count="3">
          <ranges>
            <range startItem="0">
              <i n="[Range].[Category].&amp;[Accessories]" c="Accessories"/>
              <i n="[Range].[Category].&amp;[Electronics]" c="Electronics"/>
              <i n="[Range].[Category].&amp;[Fashion]" c="Fashion"/>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7EA2B4AB-9FB1-4DD5-8A54-9D9F41311ED3}" sourceName="[Range].[OrderStatus]">
  <pivotTables>
    <pivotTable tabId="3" name="Month"/>
    <pivotTable tabId="3" name="Avg sales"/>
    <pivotTable tabId="3" name="Brand"/>
    <pivotTable tabId="3" name="OrderStatus"/>
    <pivotTable tabId="3" name="Payment"/>
    <pivotTable tabId="3" name="Product"/>
    <pivotTable tabId="3" name="State"/>
    <pivotTable tabId="3" name="TotalSales"/>
  </pivotTables>
  <data>
    <olap pivotCacheId="1254827159">
      <levels count="2">
        <level uniqueName="[Range].[OrderStatus].[(All)]" sourceCaption="(All)" count="0"/>
        <level uniqueName="[Range].[OrderStatus].[OrderStatus]" sourceCaption="OrderStatus" count="4">
          <ranges>
            <range startItem="0">
              <i n="[Range].[OrderStatus].&amp;[Cancelled]" c="Cancelled"/>
              <i n="[Range].[OrderStatus].&amp;[Delivered]" c="Delivered"/>
              <i n="[Range].[OrderStatus].&amp;[Processing]" c="Processing"/>
              <i n="[Range].[OrderStatus].&amp;[Shipped]" c="Shipped"/>
            </range>
          </ranges>
        </level>
      </levels>
      <selections count="1">
        <selection n="[Range].[Order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3F8E53-D4F6-477B-B9BD-CDF9FFA9A6A0}" sourceName="[Range].[Gender]">
  <pivotTables>
    <pivotTable tabId="3" name="Month"/>
    <pivotTable tabId="3" name="Avg sales"/>
    <pivotTable tabId="3" name="Brand"/>
    <pivotTable tabId="3" name="OrderStatus"/>
    <pivotTable tabId="3" name="Payment"/>
    <pivotTable tabId="3" name="Product"/>
    <pivotTable tabId="3" name="State"/>
    <pivotTable tabId="3" name="TotalSales"/>
  </pivotTables>
  <data>
    <olap pivotCacheId="1254827159">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9BC5887-3D42-46DB-A6D5-9F1236F01E72}" sourceName="[Range].[State]">
  <pivotTables>
    <pivotTable tabId="3" name="Month"/>
    <pivotTable tabId="3" name="Avg sales"/>
    <pivotTable tabId="3" name="Brand"/>
    <pivotTable tabId="3" name="OrderStatus"/>
    <pivotTable tabId="3" name="Payment"/>
    <pivotTable tabId="3" name="Product"/>
    <pivotTable tabId="3" name="State"/>
    <pivotTable tabId="3" name="TotalSales"/>
  </pivotTables>
  <data>
    <olap pivotCacheId="1254827159">
      <levels count="2">
        <level uniqueName="[Range].[State].[(All)]" sourceCaption="(All)" count="0"/>
        <level uniqueName="[Range].[State].[State]" sourceCaption="State" count="9">
          <ranges>
            <range startItem="0">
              <i n="[Range].[State].&amp;[Delhi]" c="Delhi"/>
              <i n="[Range].[State].&amp;[Gujarat]" c="Gujarat"/>
              <i n="[Range].[State].&amp;[Karnataka]" c="Karnataka"/>
              <i n="[Range].[State].&amp;[Maharashtra]" c="Maharashtra"/>
              <i n="[Range].[State].&amp;[Rajasthan]" c="Rajasthan"/>
              <i n="[Range].[State].&amp;[Tamil Nadu]" c="Tamil Nadu"/>
              <i n="[Range].[State].&amp;[Telangana]" c="Telangana"/>
              <i n="[Range].[State].&amp;[Uttar Pradesh]" c="Uttar Pradesh"/>
              <i n="[Range].[State].&amp;[West Bengal]" c="West Bengal"/>
            </range>
          </ranges>
        </level>
      </levels>
      <selections count="1">
        <selection n="[Range].[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DA08EB-E06A-435C-96F3-F70ACAB008F7}" cache="Slicer_Category" caption="Category" level="1" rowHeight="234950"/>
  <slicer name="OrderStatus" xr10:uid="{CA6B908B-26DE-4000-903B-66049016AE02}" cache="Slicer_OrderStatus" caption="OrderStatus" level="1" rowHeight="234950"/>
  <slicer name="Gender" xr10:uid="{359E0A70-0AFE-4D8F-BC7A-616F7418C34A}" cache="Slicer_Gender" caption="Gender" level="1" rowHeight="234950"/>
  <slicer name="State" xr10:uid="{42B8DBBE-7D7A-4794-8837-221A610A1536}" cache="Slicer_State" caption="Stat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9A382B7-19B0-4D5C-906A-C97C4A497B8F}" cache="Slicer_Category" caption="Category" level="1" style="SlicerStyleDark2" rowHeight="234950"/>
  <slicer name="OrderStatus 1" xr10:uid="{BD3B2311-3E32-46A8-A55C-768A55717B9A}" cache="Slicer_OrderStatus" caption="OrderStatus" level="1" style="SlicerStyleDark2" rowHeight="234950"/>
  <slicer name="Gender 1" xr10:uid="{4CBE358E-5BDA-43DF-A01D-B3170D793B7D}" cache="Slicer_Gender" caption="Gender" level="1" style="SlicerStyleDark2" rowHeight="234950"/>
  <slicer name="State 1" xr10:uid="{801AC34D-827D-4C83-951F-97B40E515392}" cache="Slicer_State" caption="State" level="1"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F599EDF3-F467-448B-A1BE-5E8E693B78E4}" sourceName="[Range].[OrderDate]">
  <pivotTables>
    <pivotTable tabId="3" name="Month"/>
    <pivotTable tabId="3" name="Avg sales"/>
    <pivotTable tabId="3" name="Brand"/>
    <pivotTable tabId="3" name="OrderStatus"/>
    <pivotTable tabId="3" name="Payment"/>
    <pivotTable tabId="3" name="Product"/>
    <pivotTable tabId="3" name="State"/>
    <pivotTable tabId="3" name="TotalSales"/>
  </pivotTables>
  <state minimalRefreshVersion="6" lastRefreshVersion="6" pivotCacheId="126353641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F68BA1F6-C6F4-4010-B4CD-971645F79CE3}" cache="Timeline_OrderDate" caption="OrderDate" level="2" selectionLevel="2" scrollPosition="2025-06-05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41864A0B-34CE-49F9-A77C-E6176A42C471}" cache="Timeline_OrderDate" caption="OrderDate" level="2" selectionLevel="2" scrollPosition="2025-06-05T00:00:00" style="TimeSlicerStyleLight2"/>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U201"/>
  <sheetViews>
    <sheetView tabSelected="1" zoomScale="60" zoomScaleNormal="60" workbookViewId="0">
      <selection activeCell="F22" sqref="F22"/>
    </sheetView>
  </sheetViews>
  <sheetFormatPr defaultRowHeight="14.4" x14ac:dyDescent="0.3"/>
  <cols>
    <col min="1" max="1" width="16" customWidth="1"/>
    <col min="2" max="2" width="22.6640625" customWidth="1"/>
    <col min="3" max="21" width="16" customWidth="1"/>
  </cols>
  <sheetData>
    <row r="1" spans="1:21" x14ac:dyDescent="0.3">
      <c r="A1" s="1" t="s">
        <v>0</v>
      </c>
      <c r="B1" s="3"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s="2">
        <v>45762</v>
      </c>
      <c r="C2" t="s">
        <v>22</v>
      </c>
      <c r="D2" t="s">
        <v>23</v>
      </c>
      <c r="E2" t="s">
        <v>24</v>
      </c>
      <c r="F2">
        <v>60</v>
      </c>
      <c r="G2" t="s">
        <v>25</v>
      </c>
      <c r="H2" t="s">
        <v>26</v>
      </c>
      <c r="I2" t="s">
        <v>27</v>
      </c>
      <c r="J2" t="s">
        <v>28</v>
      </c>
      <c r="K2" t="s">
        <v>27</v>
      </c>
      <c r="L2" t="s">
        <v>29</v>
      </c>
      <c r="M2">
        <v>3</v>
      </c>
      <c r="N2">
        <v>11925</v>
      </c>
      <c r="O2">
        <v>10</v>
      </c>
      <c r="P2">
        <v>3577.5</v>
      </c>
      <c r="Q2">
        <v>32197.5</v>
      </c>
      <c r="R2">
        <v>18325.650000000001</v>
      </c>
      <c r="S2">
        <v>13871.85</v>
      </c>
      <c r="T2" t="s">
        <v>30</v>
      </c>
      <c r="U2" t="s">
        <v>31</v>
      </c>
    </row>
    <row r="3" spans="1:21" x14ac:dyDescent="0.3">
      <c r="A3" t="s">
        <v>32</v>
      </c>
      <c r="B3" s="2">
        <v>45763</v>
      </c>
      <c r="C3" t="s">
        <v>33</v>
      </c>
      <c r="D3" t="s">
        <v>34</v>
      </c>
      <c r="E3" t="s">
        <v>35</v>
      </c>
      <c r="F3">
        <v>41</v>
      </c>
      <c r="G3" t="s">
        <v>36</v>
      </c>
      <c r="H3" t="s">
        <v>37</v>
      </c>
      <c r="I3" t="s">
        <v>38</v>
      </c>
      <c r="J3" t="s">
        <v>39</v>
      </c>
      <c r="K3" t="s">
        <v>38</v>
      </c>
      <c r="L3" t="s">
        <v>29</v>
      </c>
      <c r="M3">
        <v>4</v>
      </c>
      <c r="N3">
        <v>38051</v>
      </c>
      <c r="O3">
        <v>10</v>
      </c>
      <c r="P3">
        <v>15220.4</v>
      </c>
      <c r="Q3">
        <v>136983.6</v>
      </c>
      <c r="R3">
        <v>83648.179999999993</v>
      </c>
      <c r="S3">
        <v>53335.42</v>
      </c>
      <c r="T3" t="s">
        <v>40</v>
      </c>
      <c r="U3" t="s">
        <v>31</v>
      </c>
    </row>
    <row r="4" spans="1:21" x14ac:dyDescent="0.3">
      <c r="A4" t="s">
        <v>41</v>
      </c>
      <c r="B4" s="2">
        <v>45764</v>
      </c>
      <c r="C4" t="s">
        <v>42</v>
      </c>
      <c r="D4" t="s">
        <v>43</v>
      </c>
      <c r="E4" t="s">
        <v>35</v>
      </c>
      <c r="F4">
        <v>48</v>
      </c>
      <c r="G4" t="s">
        <v>44</v>
      </c>
      <c r="H4" t="s">
        <v>45</v>
      </c>
      <c r="I4" t="s">
        <v>46</v>
      </c>
      <c r="J4" t="s">
        <v>47</v>
      </c>
      <c r="K4" t="s">
        <v>46</v>
      </c>
      <c r="L4" t="s">
        <v>48</v>
      </c>
      <c r="M4">
        <v>4</v>
      </c>
      <c r="N4">
        <v>43331</v>
      </c>
      <c r="O4">
        <v>5</v>
      </c>
      <c r="P4">
        <v>8666.2000000000007</v>
      </c>
      <c r="Q4">
        <v>164657.79999999999</v>
      </c>
      <c r="R4">
        <v>99344.15</v>
      </c>
      <c r="S4">
        <v>65313.65</v>
      </c>
      <c r="T4" t="s">
        <v>40</v>
      </c>
      <c r="U4" t="s">
        <v>49</v>
      </c>
    </row>
    <row r="5" spans="1:21" x14ac:dyDescent="0.3">
      <c r="A5" t="s">
        <v>50</v>
      </c>
      <c r="B5" s="2">
        <v>45765</v>
      </c>
      <c r="C5" t="s">
        <v>51</v>
      </c>
      <c r="D5" t="s">
        <v>52</v>
      </c>
      <c r="E5" t="s">
        <v>24</v>
      </c>
      <c r="F5">
        <v>57</v>
      </c>
      <c r="G5" t="s">
        <v>36</v>
      </c>
      <c r="H5" t="s">
        <v>37</v>
      </c>
      <c r="I5" t="s">
        <v>53</v>
      </c>
      <c r="J5" t="s">
        <v>47</v>
      </c>
      <c r="K5" t="s">
        <v>53</v>
      </c>
      <c r="L5" t="s">
        <v>54</v>
      </c>
      <c r="M5">
        <v>5</v>
      </c>
      <c r="N5">
        <v>23609</v>
      </c>
      <c r="O5">
        <v>0</v>
      </c>
      <c r="P5">
        <v>0</v>
      </c>
      <c r="Q5">
        <v>118045</v>
      </c>
      <c r="R5">
        <v>77250.210000000006</v>
      </c>
      <c r="S5">
        <v>40794.79</v>
      </c>
      <c r="T5" t="s">
        <v>55</v>
      </c>
      <c r="U5" t="s">
        <v>31</v>
      </c>
    </row>
    <row r="6" spans="1:21" x14ac:dyDescent="0.3">
      <c r="A6" t="s">
        <v>56</v>
      </c>
      <c r="B6" s="2">
        <v>45766</v>
      </c>
      <c r="C6" t="s">
        <v>57</v>
      </c>
      <c r="D6" t="s">
        <v>58</v>
      </c>
      <c r="E6" t="s">
        <v>24</v>
      </c>
      <c r="F6">
        <v>24</v>
      </c>
      <c r="G6" t="s">
        <v>59</v>
      </c>
      <c r="H6" t="s">
        <v>60</v>
      </c>
      <c r="I6" t="s">
        <v>27</v>
      </c>
      <c r="J6" t="s">
        <v>28</v>
      </c>
      <c r="K6" t="s">
        <v>27</v>
      </c>
      <c r="L6" t="s">
        <v>29</v>
      </c>
      <c r="M6">
        <v>2</v>
      </c>
      <c r="N6">
        <v>28362</v>
      </c>
      <c r="O6">
        <v>0</v>
      </c>
      <c r="P6">
        <v>0</v>
      </c>
      <c r="Q6">
        <v>56724</v>
      </c>
      <c r="R6">
        <v>37266.33</v>
      </c>
      <c r="S6">
        <v>19457.669999999998</v>
      </c>
      <c r="T6" t="s">
        <v>30</v>
      </c>
      <c r="U6" t="s">
        <v>31</v>
      </c>
    </row>
    <row r="7" spans="1:21" x14ac:dyDescent="0.3">
      <c r="A7" t="s">
        <v>61</v>
      </c>
      <c r="B7" s="2">
        <v>45767</v>
      </c>
      <c r="C7" t="s">
        <v>62</v>
      </c>
      <c r="D7" t="s">
        <v>58</v>
      </c>
      <c r="E7" t="s">
        <v>24</v>
      </c>
      <c r="F7">
        <v>59</v>
      </c>
      <c r="G7" t="s">
        <v>25</v>
      </c>
      <c r="H7" t="s">
        <v>26</v>
      </c>
      <c r="I7" t="s">
        <v>63</v>
      </c>
      <c r="J7" t="s">
        <v>47</v>
      </c>
      <c r="K7" t="s">
        <v>63</v>
      </c>
      <c r="L7" t="s">
        <v>29</v>
      </c>
      <c r="M7">
        <v>1</v>
      </c>
      <c r="N7">
        <v>29025</v>
      </c>
      <c r="O7">
        <v>10</v>
      </c>
      <c r="P7">
        <v>2902.5</v>
      </c>
      <c r="Q7">
        <v>26122.5</v>
      </c>
      <c r="R7">
        <v>17435.86</v>
      </c>
      <c r="S7">
        <v>8686.64</v>
      </c>
      <c r="T7" t="s">
        <v>64</v>
      </c>
      <c r="U7" t="s">
        <v>31</v>
      </c>
    </row>
    <row r="8" spans="1:21" x14ac:dyDescent="0.3">
      <c r="A8" t="s">
        <v>65</v>
      </c>
      <c r="B8" s="2">
        <v>45768</v>
      </c>
      <c r="C8" t="s">
        <v>66</v>
      </c>
      <c r="D8" t="s">
        <v>58</v>
      </c>
      <c r="E8" t="s">
        <v>35</v>
      </c>
      <c r="F8">
        <v>28</v>
      </c>
      <c r="G8" t="s">
        <v>44</v>
      </c>
      <c r="H8" t="s">
        <v>45</v>
      </c>
      <c r="I8" t="s">
        <v>67</v>
      </c>
      <c r="J8" t="s">
        <v>47</v>
      </c>
      <c r="K8" t="s">
        <v>67</v>
      </c>
      <c r="L8" t="s">
        <v>29</v>
      </c>
      <c r="M8">
        <v>5</v>
      </c>
      <c r="N8">
        <v>33886</v>
      </c>
      <c r="O8">
        <v>10</v>
      </c>
      <c r="P8">
        <v>16943</v>
      </c>
      <c r="Q8">
        <v>152487</v>
      </c>
      <c r="R8">
        <v>119045.36</v>
      </c>
      <c r="S8">
        <v>33441.64</v>
      </c>
      <c r="T8" t="s">
        <v>55</v>
      </c>
      <c r="U8" t="s">
        <v>68</v>
      </c>
    </row>
    <row r="9" spans="1:21" x14ac:dyDescent="0.3">
      <c r="A9" t="s">
        <v>69</v>
      </c>
      <c r="B9" s="2">
        <v>45769</v>
      </c>
      <c r="C9" t="s">
        <v>70</v>
      </c>
      <c r="D9" t="s">
        <v>71</v>
      </c>
      <c r="E9" t="s">
        <v>24</v>
      </c>
      <c r="F9">
        <v>19</v>
      </c>
      <c r="G9" t="s">
        <v>72</v>
      </c>
      <c r="H9" t="s">
        <v>73</v>
      </c>
      <c r="I9" t="s">
        <v>67</v>
      </c>
      <c r="J9" t="s">
        <v>47</v>
      </c>
      <c r="K9" t="s">
        <v>67</v>
      </c>
      <c r="L9" t="s">
        <v>54</v>
      </c>
      <c r="M9">
        <v>4</v>
      </c>
      <c r="N9">
        <v>9949</v>
      </c>
      <c r="O9">
        <v>0</v>
      </c>
      <c r="P9">
        <v>0</v>
      </c>
      <c r="Q9">
        <v>39796</v>
      </c>
      <c r="R9">
        <v>24199.25</v>
      </c>
      <c r="S9">
        <v>15596.75</v>
      </c>
      <c r="T9" t="s">
        <v>55</v>
      </c>
      <c r="U9" t="s">
        <v>31</v>
      </c>
    </row>
    <row r="10" spans="1:21" x14ac:dyDescent="0.3">
      <c r="A10" t="s">
        <v>74</v>
      </c>
      <c r="B10" s="2">
        <v>45770</v>
      </c>
      <c r="C10" t="s">
        <v>75</v>
      </c>
      <c r="D10" t="s">
        <v>76</v>
      </c>
      <c r="E10" t="s">
        <v>35</v>
      </c>
      <c r="F10">
        <v>50</v>
      </c>
      <c r="G10" t="s">
        <v>25</v>
      </c>
      <c r="H10" t="s">
        <v>26</v>
      </c>
      <c r="I10" t="s">
        <v>38</v>
      </c>
      <c r="J10" t="s">
        <v>39</v>
      </c>
      <c r="K10" t="s">
        <v>38</v>
      </c>
      <c r="L10" t="s">
        <v>54</v>
      </c>
      <c r="M10">
        <v>3</v>
      </c>
      <c r="N10">
        <v>1377</v>
      </c>
      <c r="O10">
        <v>5</v>
      </c>
      <c r="P10">
        <v>206.55</v>
      </c>
      <c r="Q10">
        <v>3924.45</v>
      </c>
      <c r="R10">
        <v>2634.24</v>
      </c>
      <c r="S10">
        <v>1290.21</v>
      </c>
      <c r="T10" t="s">
        <v>30</v>
      </c>
      <c r="U10" t="s">
        <v>49</v>
      </c>
    </row>
    <row r="11" spans="1:21" x14ac:dyDescent="0.3">
      <c r="A11" t="s">
        <v>77</v>
      </c>
      <c r="B11" s="2">
        <v>45771</v>
      </c>
      <c r="C11" t="s">
        <v>78</v>
      </c>
      <c r="D11" t="s">
        <v>79</v>
      </c>
      <c r="E11" t="s">
        <v>35</v>
      </c>
      <c r="F11">
        <v>19</v>
      </c>
      <c r="G11" t="s">
        <v>44</v>
      </c>
      <c r="H11" t="s">
        <v>45</v>
      </c>
      <c r="I11" t="s">
        <v>80</v>
      </c>
      <c r="J11" t="s">
        <v>47</v>
      </c>
      <c r="K11" t="s">
        <v>80</v>
      </c>
      <c r="L11" t="s">
        <v>81</v>
      </c>
      <c r="M11">
        <v>2</v>
      </c>
      <c r="N11">
        <v>2044</v>
      </c>
      <c r="O11">
        <v>10</v>
      </c>
      <c r="P11">
        <v>408.8</v>
      </c>
      <c r="Q11">
        <v>3679.2</v>
      </c>
      <c r="R11">
        <v>2506.59</v>
      </c>
      <c r="S11">
        <v>1172.6099999999999</v>
      </c>
      <c r="T11" t="s">
        <v>64</v>
      </c>
      <c r="U11" t="s">
        <v>31</v>
      </c>
    </row>
    <row r="12" spans="1:21" x14ac:dyDescent="0.3">
      <c r="A12" t="s">
        <v>82</v>
      </c>
      <c r="B12" s="2">
        <v>45772</v>
      </c>
      <c r="C12" t="s">
        <v>83</v>
      </c>
      <c r="D12" t="s">
        <v>79</v>
      </c>
      <c r="E12" t="s">
        <v>35</v>
      </c>
      <c r="F12">
        <v>31</v>
      </c>
      <c r="G12" t="s">
        <v>72</v>
      </c>
      <c r="H12" t="s">
        <v>73</v>
      </c>
      <c r="I12" t="s">
        <v>80</v>
      </c>
      <c r="J12" t="s">
        <v>47</v>
      </c>
      <c r="K12" t="s">
        <v>80</v>
      </c>
      <c r="L12" t="s">
        <v>54</v>
      </c>
      <c r="M12">
        <v>2</v>
      </c>
      <c r="N12">
        <v>14058</v>
      </c>
      <c r="O12">
        <v>0</v>
      </c>
      <c r="P12">
        <v>0</v>
      </c>
      <c r="Q12">
        <v>28116</v>
      </c>
      <c r="R12">
        <v>23876.48</v>
      </c>
      <c r="S12">
        <v>4239.5200000000004</v>
      </c>
      <c r="T12" t="s">
        <v>55</v>
      </c>
      <c r="U12" t="s">
        <v>68</v>
      </c>
    </row>
    <row r="13" spans="1:21" x14ac:dyDescent="0.3">
      <c r="A13" t="s">
        <v>84</v>
      </c>
      <c r="B13" s="2">
        <v>45773</v>
      </c>
      <c r="C13" t="s">
        <v>85</v>
      </c>
      <c r="D13" t="s">
        <v>86</v>
      </c>
      <c r="E13" t="s">
        <v>24</v>
      </c>
      <c r="F13">
        <v>40</v>
      </c>
      <c r="G13" t="s">
        <v>87</v>
      </c>
      <c r="H13" t="s">
        <v>88</v>
      </c>
      <c r="I13" t="s">
        <v>53</v>
      </c>
      <c r="J13" t="s">
        <v>47</v>
      </c>
      <c r="K13" t="s">
        <v>53</v>
      </c>
      <c r="L13" t="s">
        <v>89</v>
      </c>
      <c r="M13">
        <v>5</v>
      </c>
      <c r="N13">
        <v>5236</v>
      </c>
      <c r="O13">
        <v>0</v>
      </c>
      <c r="P13">
        <v>0</v>
      </c>
      <c r="Q13">
        <v>26180</v>
      </c>
      <c r="R13">
        <v>16158.17</v>
      </c>
      <c r="S13">
        <v>10021.83</v>
      </c>
      <c r="T13" t="s">
        <v>30</v>
      </c>
      <c r="U13" t="s">
        <v>90</v>
      </c>
    </row>
    <row r="14" spans="1:21" x14ac:dyDescent="0.3">
      <c r="A14" t="s">
        <v>91</v>
      </c>
      <c r="B14" s="2">
        <v>45774</v>
      </c>
      <c r="C14" t="s">
        <v>92</v>
      </c>
      <c r="D14" t="s">
        <v>93</v>
      </c>
      <c r="E14" t="s">
        <v>35</v>
      </c>
      <c r="F14">
        <v>20</v>
      </c>
      <c r="G14" t="s">
        <v>87</v>
      </c>
      <c r="H14" t="s">
        <v>88</v>
      </c>
      <c r="I14" t="s">
        <v>94</v>
      </c>
      <c r="J14" t="s">
        <v>39</v>
      </c>
      <c r="K14" t="s">
        <v>94</v>
      </c>
      <c r="L14" t="s">
        <v>81</v>
      </c>
      <c r="M14">
        <v>4</v>
      </c>
      <c r="N14">
        <v>25054</v>
      </c>
      <c r="O14">
        <v>0</v>
      </c>
      <c r="P14">
        <v>0</v>
      </c>
      <c r="Q14">
        <v>100216</v>
      </c>
      <c r="R14">
        <v>64436.37</v>
      </c>
      <c r="S14">
        <v>35779.629999999997</v>
      </c>
      <c r="T14" t="s">
        <v>95</v>
      </c>
      <c r="U14" t="s">
        <v>31</v>
      </c>
    </row>
    <row r="15" spans="1:21" x14ac:dyDescent="0.3">
      <c r="A15" t="s">
        <v>96</v>
      </c>
      <c r="B15" s="2">
        <v>45775</v>
      </c>
      <c r="C15" t="s">
        <v>97</v>
      </c>
      <c r="D15" t="s">
        <v>23</v>
      </c>
      <c r="E15" t="s">
        <v>35</v>
      </c>
      <c r="F15">
        <v>33</v>
      </c>
      <c r="G15" t="s">
        <v>98</v>
      </c>
      <c r="H15" t="s">
        <v>98</v>
      </c>
      <c r="I15" t="s">
        <v>38</v>
      </c>
      <c r="J15" t="s">
        <v>39</v>
      </c>
      <c r="K15" t="s">
        <v>38</v>
      </c>
      <c r="L15" t="s">
        <v>29</v>
      </c>
      <c r="M15">
        <v>1</v>
      </c>
      <c r="N15">
        <v>21575</v>
      </c>
      <c r="O15">
        <v>0</v>
      </c>
      <c r="P15">
        <v>0</v>
      </c>
      <c r="Q15">
        <v>21575</v>
      </c>
      <c r="R15">
        <v>16048.05</v>
      </c>
      <c r="S15">
        <v>5526.95</v>
      </c>
      <c r="T15" t="s">
        <v>64</v>
      </c>
      <c r="U15" t="s">
        <v>31</v>
      </c>
    </row>
    <row r="16" spans="1:21" x14ac:dyDescent="0.3">
      <c r="A16" t="s">
        <v>99</v>
      </c>
      <c r="B16" s="2">
        <v>45776</v>
      </c>
      <c r="C16" t="s">
        <v>100</v>
      </c>
      <c r="D16" t="s">
        <v>52</v>
      </c>
      <c r="E16" t="s">
        <v>35</v>
      </c>
      <c r="F16">
        <v>58</v>
      </c>
      <c r="G16" t="s">
        <v>101</v>
      </c>
      <c r="H16" t="s">
        <v>102</v>
      </c>
      <c r="I16" t="s">
        <v>53</v>
      </c>
      <c r="J16" t="s">
        <v>47</v>
      </c>
      <c r="K16" t="s">
        <v>53</v>
      </c>
      <c r="L16" t="s">
        <v>54</v>
      </c>
      <c r="M16">
        <v>4</v>
      </c>
      <c r="N16">
        <v>51102</v>
      </c>
      <c r="O16">
        <v>15</v>
      </c>
      <c r="P16">
        <v>30661.200000000001</v>
      </c>
      <c r="Q16">
        <v>173746.8</v>
      </c>
      <c r="R16">
        <v>126985.81</v>
      </c>
      <c r="S16">
        <v>46760.99</v>
      </c>
      <c r="T16" t="s">
        <v>55</v>
      </c>
      <c r="U16" t="s">
        <v>31</v>
      </c>
    </row>
    <row r="17" spans="1:21" x14ac:dyDescent="0.3">
      <c r="A17" t="s">
        <v>103</v>
      </c>
      <c r="B17" s="2">
        <v>45777</v>
      </c>
      <c r="C17" t="s">
        <v>104</v>
      </c>
      <c r="D17" t="s">
        <v>23</v>
      </c>
      <c r="E17" t="s">
        <v>35</v>
      </c>
      <c r="F17">
        <v>39</v>
      </c>
      <c r="G17" t="s">
        <v>101</v>
      </c>
      <c r="H17" t="s">
        <v>102</v>
      </c>
      <c r="I17" t="s">
        <v>53</v>
      </c>
      <c r="J17" t="s">
        <v>47</v>
      </c>
      <c r="K17" t="s">
        <v>53</v>
      </c>
      <c r="L17" t="s">
        <v>105</v>
      </c>
      <c r="M17">
        <v>2</v>
      </c>
      <c r="N17">
        <v>16269</v>
      </c>
      <c r="O17">
        <v>0</v>
      </c>
      <c r="P17">
        <v>0</v>
      </c>
      <c r="Q17">
        <v>32538</v>
      </c>
      <c r="R17">
        <v>19134.16</v>
      </c>
      <c r="S17">
        <v>13403.84</v>
      </c>
      <c r="T17" t="s">
        <v>55</v>
      </c>
      <c r="U17" t="s">
        <v>31</v>
      </c>
    </row>
    <row r="18" spans="1:21" x14ac:dyDescent="0.3">
      <c r="A18" t="s">
        <v>106</v>
      </c>
      <c r="B18" s="2">
        <v>45778</v>
      </c>
      <c r="C18" t="s">
        <v>107</v>
      </c>
      <c r="D18" t="s">
        <v>79</v>
      </c>
      <c r="E18" t="s">
        <v>24</v>
      </c>
      <c r="F18">
        <v>23</v>
      </c>
      <c r="G18" t="s">
        <v>87</v>
      </c>
      <c r="H18" t="s">
        <v>88</v>
      </c>
      <c r="I18" t="s">
        <v>27</v>
      </c>
      <c r="J18" t="s">
        <v>28</v>
      </c>
      <c r="K18" t="s">
        <v>27</v>
      </c>
      <c r="L18" t="s">
        <v>54</v>
      </c>
      <c r="M18">
        <v>5</v>
      </c>
      <c r="N18">
        <v>49461</v>
      </c>
      <c r="O18">
        <v>5</v>
      </c>
      <c r="P18">
        <v>12365.25</v>
      </c>
      <c r="Q18">
        <v>234939.75</v>
      </c>
      <c r="R18">
        <v>138030.32999999999</v>
      </c>
      <c r="S18">
        <v>96909.42</v>
      </c>
      <c r="T18" t="s">
        <v>40</v>
      </c>
      <c r="U18" t="s">
        <v>68</v>
      </c>
    </row>
    <row r="19" spans="1:21" x14ac:dyDescent="0.3">
      <c r="A19" t="s">
        <v>108</v>
      </c>
      <c r="B19" s="2">
        <v>45779</v>
      </c>
      <c r="C19" t="s">
        <v>109</v>
      </c>
      <c r="D19" t="s">
        <v>86</v>
      </c>
      <c r="E19" t="s">
        <v>24</v>
      </c>
      <c r="F19">
        <v>32</v>
      </c>
      <c r="G19" t="s">
        <v>110</v>
      </c>
      <c r="H19" t="s">
        <v>111</v>
      </c>
      <c r="I19" t="s">
        <v>80</v>
      </c>
      <c r="J19" t="s">
        <v>47</v>
      </c>
      <c r="K19" t="s">
        <v>80</v>
      </c>
      <c r="L19" t="s">
        <v>48</v>
      </c>
      <c r="M19">
        <v>2</v>
      </c>
      <c r="N19">
        <v>59202</v>
      </c>
      <c r="O19">
        <v>15</v>
      </c>
      <c r="P19">
        <v>17760.599999999999</v>
      </c>
      <c r="Q19">
        <v>100643.4</v>
      </c>
      <c r="R19">
        <v>58594.77</v>
      </c>
      <c r="S19">
        <v>42048.63</v>
      </c>
      <c r="T19" t="s">
        <v>95</v>
      </c>
      <c r="U19" t="s">
        <v>31</v>
      </c>
    </row>
    <row r="20" spans="1:21" x14ac:dyDescent="0.3">
      <c r="A20" t="s">
        <v>112</v>
      </c>
      <c r="B20" s="2">
        <v>45780</v>
      </c>
      <c r="C20" t="s">
        <v>113</v>
      </c>
      <c r="D20" t="s">
        <v>58</v>
      </c>
      <c r="E20" t="s">
        <v>35</v>
      </c>
      <c r="F20">
        <v>37</v>
      </c>
      <c r="G20" t="s">
        <v>44</v>
      </c>
      <c r="H20" t="s">
        <v>45</v>
      </c>
      <c r="I20" t="s">
        <v>63</v>
      </c>
      <c r="J20" t="s">
        <v>47</v>
      </c>
      <c r="K20" t="s">
        <v>63</v>
      </c>
      <c r="L20" t="s">
        <v>48</v>
      </c>
      <c r="M20">
        <v>2</v>
      </c>
      <c r="N20">
        <v>51631</v>
      </c>
      <c r="O20">
        <v>15</v>
      </c>
      <c r="P20">
        <v>15489.3</v>
      </c>
      <c r="Q20">
        <v>87772.7</v>
      </c>
      <c r="R20">
        <v>65179.82</v>
      </c>
      <c r="S20">
        <v>22592.880000000001</v>
      </c>
      <c r="T20" t="s">
        <v>55</v>
      </c>
      <c r="U20" t="s">
        <v>31</v>
      </c>
    </row>
    <row r="21" spans="1:21" x14ac:dyDescent="0.3">
      <c r="A21" t="s">
        <v>114</v>
      </c>
      <c r="B21" s="2">
        <v>45781</v>
      </c>
      <c r="C21" t="s">
        <v>115</v>
      </c>
      <c r="D21" t="s">
        <v>116</v>
      </c>
      <c r="E21" t="s">
        <v>35</v>
      </c>
      <c r="F21">
        <v>29</v>
      </c>
      <c r="G21" t="s">
        <v>44</v>
      </c>
      <c r="H21" t="s">
        <v>45</v>
      </c>
      <c r="I21" t="s">
        <v>67</v>
      </c>
      <c r="J21" t="s">
        <v>47</v>
      </c>
      <c r="K21" t="s">
        <v>67</v>
      </c>
      <c r="L21" t="s">
        <v>105</v>
      </c>
      <c r="M21">
        <v>1</v>
      </c>
      <c r="N21">
        <v>9560</v>
      </c>
      <c r="O21">
        <v>15</v>
      </c>
      <c r="P21">
        <v>1434</v>
      </c>
      <c r="Q21">
        <v>8126</v>
      </c>
      <c r="R21">
        <v>4570.28</v>
      </c>
      <c r="S21">
        <v>3555.72</v>
      </c>
      <c r="T21" t="s">
        <v>64</v>
      </c>
      <c r="U21" t="s">
        <v>31</v>
      </c>
    </row>
    <row r="22" spans="1:21" x14ac:dyDescent="0.3">
      <c r="A22" t="s">
        <v>117</v>
      </c>
      <c r="B22" s="2">
        <v>45782</v>
      </c>
      <c r="C22" t="s">
        <v>118</v>
      </c>
      <c r="D22" t="s">
        <v>116</v>
      </c>
      <c r="E22" t="s">
        <v>35</v>
      </c>
      <c r="F22">
        <v>29</v>
      </c>
      <c r="G22" t="s">
        <v>101</v>
      </c>
      <c r="H22" t="s">
        <v>102</v>
      </c>
      <c r="I22" t="s">
        <v>63</v>
      </c>
      <c r="J22" t="s">
        <v>47</v>
      </c>
      <c r="K22" t="s">
        <v>63</v>
      </c>
      <c r="L22" t="s">
        <v>89</v>
      </c>
      <c r="M22">
        <v>1</v>
      </c>
      <c r="N22">
        <v>12646</v>
      </c>
      <c r="O22">
        <v>0</v>
      </c>
      <c r="P22">
        <v>0</v>
      </c>
      <c r="Q22">
        <v>12646</v>
      </c>
      <c r="R22">
        <v>8935.0400000000009</v>
      </c>
      <c r="S22">
        <v>3710.96</v>
      </c>
      <c r="T22" t="s">
        <v>55</v>
      </c>
      <c r="U22" t="s">
        <v>31</v>
      </c>
    </row>
    <row r="23" spans="1:21" x14ac:dyDescent="0.3">
      <c r="A23" t="s">
        <v>119</v>
      </c>
      <c r="B23" s="2">
        <v>45783</v>
      </c>
      <c r="C23" t="s">
        <v>120</v>
      </c>
      <c r="D23" t="s">
        <v>121</v>
      </c>
      <c r="E23" t="s">
        <v>35</v>
      </c>
      <c r="F23">
        <v>58</v>
      </c>
      <c r="G23" t="s">
        <v>72</v>
      </c>
      <c r="H23" t="s">
        <v>73</v>
      </c>
      <c r="I23" t="s">
        <v>46</v>
      </c>
      <c r="J23" t="s">
        <v>47</v>
      </c>
      <c r="K23" t="s">
        <v>46</v>
      </c>
      <c r="L23" t="s">
        <v>89</v>
      </c>
      <c r="M23">
        <v>2</v>
      </c>
      <c r="N23">
        <v>42193</v>
      </c>
      <c r="O23">
        <v>20</v>
      </c>
      <c r="P23">
        <v>16877.2</v>
      </c>
      <c r="Q23">
        <v>67508.800000000003</v>
      </c>
      <c r="R23">
        <v>53239.12</v>
      </c>
      <c r="S23">
        <v>14269.68</v>
      </c>
      <c r="T23" t="s">
        <v>64</v>
      </c>
      <c r="U23" t="s">
        <v>49</v>
      </c>
    </row>
    <row r="24" spans="1:21" x14ac:dyDescent="0.3">
      <c r="A24" t="s">
        <v>122</v>
      </c>
      <c r="B24" s="2">
        <v>45784</v>
      </c>
      <c r="C24" t="s">
        <v>123</v>
      </c>
      <c r="D24" t="s">
        <v>121</v>
      </c>
      <c r="E24" t="s">
        <v>35</v>
      </c>
      <c r="F24">
        <v>33</v>
      </c>
      <c r="G24" t="s">
        <v>72</v>
      </c>
      <c r="H24" t="s">
        <v>73</v>
      </c>
      <c r="I24" t="s">
        <v>80</v>
      </c>
      <c r="J24" t="s">
        <v>47</v>
      </c>
      <c r="K24" t="s">
        <v>80</v>
      </c>
      <c r="L24" t="s">
        <v>89</v>
      </c>
      <c r="M24">
        <v>3</v>
      </c>
      <c r="N24">
        <v>24630</v>
      </c>
      <c r="O24">
        <v>0</v>
      </c>
      <c r="P24">
        <v>0</v>
      </c>
      <c r="Q24">
        <v>73890</v>
      </c>
      <c r="R24">
        <v>62254.52</v>
      </c>
      <c r="S24">
        <v>11635.48</v>
      </c>
      <c r="T24" t="s">
        <v>40</v>
      </c>
      <c r="U24" t="s">
        <v>31</v>
      </c>
    </row>
    <row r="25" spans="1:21" x14ac:dyDescent="0.3">
      <c r="A25" t="s">
        <v>124</v>
      </c>
      <c r="B25" s="2">
        <v>45785</v>
      </c>
      <c r="C25" t="s">
        <v>125</v>
      </c>
      <c r="D25" t="s">
        <v>43</v>
      </c>
      <c r="E25" t="s">
        <v>24</v>
      </c>
      <c r="F25">
        <v>29</v>
      </c>
      <c r="G25" t="s">
        <v>44</v>
      </c>
      <c r="H25" t="s">
        <v>45</v>
      </c>
      <c r="I25" t="s">
        <v>46</v>
      </c>
      <c r="J25" t="s">
        <v>47</v>
      </c>
      <c r="K25" t="s">
        <v>46</v>
      </c>
      <c r="L25" t="s">
        <v>81</v>
      </c>
      <c r="M25">
        <v>3</v>
      </c>
      <c r="N25">
        <v>32215</v>
      </c>
      <c r="O25">
        <v>0</v>
      </c>
      <c r="P25">
        <v>0</v>
      </c>
      <c r="Q25">
        <v>96645</v>
      </c>
      <c r="R25">
        <v>56222.8</v>
      </c>
      <c r="S25">
        <v>40422.199999999997</v>
      </c>
      <c r="T25" t="s">
        <v>30</v>
      </c>
      <c r="U25" t="s">
        <v>31</v>
      </c>
    </row>
    <row r="26" spans="1:21" x14ac:dyDescent="0.3">
      <c r="A26" t="s">
        <v>126</v>
      </c>
      <c r="B26" s="2">
        <v>45786</v>
      </c>
      <c r="C26" t="s">
        <v>127</v>
      </c>
      <c r="D26" t="s">
        <v>128</v>
      </c>
      <c r="E26" t="s">
        <v>24</v>
      </c>
      <c r="F26">
        <v>42</v>
      </c>
      <c r="G26" t="s">
        <v>87</v>
      </c>
      <c r="H26" t="s">
        <v>88</v>
      </c>
      <c r="I26" t="s">
        <v>63</v>
      </c>
      <c r="J26" t="s">
        <v>47</v>
      </c>
      <c r="K26" t="s">
        <v>63</v>
      </c>
      <c r="L26" t="s">
        <v>54</v>
      </c>
      <c r="M26">
        <v>2</v>
      </c>
      <c r="N26">
        <v>55960</v>
      </c>
      <c r="O26">
        <v>5</v>
      </c>
      <c r="P26">
        <v>5596</v>
      </c>
      <c r="Q26">
        <v>106324</v>
      </c>
      <c r="R26">
        <v>80560.92</v>
      </c>
      <c r="S26">
        <v>25763.08</v>
      </c>
      <c r="T26" t="s">
        <v>30</v>
      </c>
      <c r="U26" t="s">
        <v>31</v>
      </c>
    </row>
    <row r="27" spans="1:21" x14ac:dyDescent="0.3">
      <c r="A27" t="s">
        <v>129</v>
      </c>
      <c r="B27" s="2">
        <v>45787</v>
      </c>
      <c r="C27" t="s">
        <v>130</v>
      </c>
      <c r="D27" t="s">
        <v>71</v>
      </c>
      <c r="E27" t="s">
        <v>35</v>
      </c>
      <c r="F27">
        <v>33</v>
      </c>
      <c r="G27" t="s">
        <v>87</v>
      </c>
      <c r="H27" t="s">
        <v>88</v>
      </c>
      <c r="I27" t="s">
        <v>38</v>
      </c>
      <c r="J27" t="s">
        <v>39</v>
      </c>
      <c r="K27" t="s">
        <v>38</v>
      </c>
      <c r="L27" t="s">
        <v>81</v>
      </c>
      <c r="M27">
        <v>2</v>
      </c>
      <c r="N27">
        <v>37913</v>
      </c>
      <c r="O27">
        <v>10</v>
      </c>
      <c r="P27">
        <v>7582.6</v>
      </c>
      <c r="Q27">
        <v>68243.399999999994</v>
      </c>
      <c r="R27">
        <v>50682.97</v>
      </c>
      <c r="S27">
        <v>17560.43</v>
      </c>
      <c r="T27" t="s">
        <v>64</v>
      </c>
      <c r="U27" t="s">
        <v>31</v>
      </c>
    </row>
    <row r="28" spans="1:21" x14ac:dyDescent="0.3">
      <c r="A28" t="s">
        <v>131</v>
      </c>
      <c r="B28" s="2">
        <v>45788</v>
      </c>
      <c r="C28" t="s">
        <v>132</v>
      </c>
      <c r="D28" t="s">
        <v>133</v>
      </c>
      <c r="E28" t="s">
        <v>35</v>
      </c>
      <c r="F28">
        <v>23</v>
      </c>
      <c r="G28" t="s">
        <v>110</v>
      </c>
      <c r="H28" t="s">
        <v>111</v>
      </c>
      <c r="I28" t="s">
        <v>67</v>
      </c>
      <c r="J28" t="s">
        <v>47</v>
      </c>
      <c r="K28" t="s">
        <v>67</v>
      </c>
      <c r="L28" t="s">
        <v>29</v>
      </c>
      <c r="M28">
        <v>3</v>
      </c>
      <c r="N28">
        <v>53621</v>
      </c>
      <c r="O28">
        <v>0</v>
      </c>
      <c r="P28">
        <v>0</v>
      </c>
      <c r="Q28">
        <v>160863</v>
      </c>
      <c r="R28">
        <v>102871.87</v>
      </c>
      <c r="S28">
        <v>57991.13</v>
      </c>
      <c r="T28" t="s">
        <v>40</v>
      </c>
      <c r="U28" t="s">
        <v>90</v>
      </c>
    </row>
    <row r="29" spans="1:21" x14ac:dyDescent="0.3">
      <c r="A29" t="s">
        <v>134</v>
      </c>
      <c r="B29" s="2">
        <v>45789</v>
      </c>
      <c r="C29" t="s">
        <v>135</v>
      </c>
      <c r="D29" t="s">
        <v>76</v>
      </c>
      <c r="E29" t="s">
        <v>24</v>
      </c>
      <c r="F29">
        <v>29</v>
      </c>
      <c r="G29" t="s">
        <v>72</v>
      </c>
      <c r="H29" t="s">
        <v>73</v>
      </c>
      <c r="I29" t="s">
        <v>46</v>
      </c>
      <c r="J29" t="s">
        <v>47</v>
      </c>
      <c r="K29" t="s">
        <v>46</v>
      </c>
      <c r="L29" t="s">
        <v>48</v>
      </c>
      <c r="M29">
        <v>4</v>
      </c>
      <c r="N29">
        <v>51371</v>
      </c>
      <c r="O29">
        <v>10</v>
      </c>
      <c r="P29">
        <v>20548.400000000001</v>
      </c>
      <c r="Q29">
        <v>184935.6</v>
      </c>
      <c r="R29">
        <v>104380.82</v>
      </c>
      <c r="S29">
        <v>80554.78</v>
      </c>
      <c r="T29" t="s">
        <v>55</v>
      </c>
      <c r="U29" t="s">
        <v>90</v>
      </c>
    </row>
    <row r="30" spans="1:21" x14ac:dyDescent="0.3">
      <c r="A30" t="s">
        <v>136</v>
      </c>
      <c r="B30" s="2">
        <v>45790</v>
      </c>
      <c r="C30" t="s">
        <v>137</v>
      </c>
      <c r="D30" t="s">
        <v>58</v>
      </c>
      <c r="E30" t="s">
        <v>24</v>
      </c>
      <c r="F30">
        <v>53</v>
      </c>
      <c r="G30" t="s">
        <v>72</v>
      </c>
      <c r="H30" t="s">
        <v>73</v>
      </c>
      <c r="I30" t="s">
        <v>63</v>
      </c>
      <c r="J30" t="s">
        <v>47</v>
      </c>
      <c r="K30" t="s">
        <v>63</v>
      </c>
      <c r="L30" t="s">
        <v>89</v>
      </c>
      <c r="M30">
        <v>4</v>
      </c>
      <c r="N30">
        <v>6113</v>
      </c>
      <c r="O30">
        <v>15</v>
      </c>
      <c r="P30">
        <v>3667.8</v>
      </c>
      <c r="Q30">
        <v>20784.2</v>
      </c>
      <c r="R30">
        <v>15916.67</v>
      </c>
      <c r="S30">
        <v>4867.53</v>
      </c>
      <c r="T30" t="s">
        <v>30</v>
      </c>
      <c r="U30" t="s">
        <v>31</v>
      </c>
    </row>
    <row r="31" spans="1:21" x14ac:dyDescent="0.3">
      <c r="A31" t="s">
        <v>138</v>
      </c>
      <c r="B31" s="2">
        <v>45791</v>
      </c>
      <c r="C31" t="s">
        <v>139</v>
      </c>
      <c r="D31" t="s">
        <v>52</v>
      </c>
      <c r="E31" t="s">
        <v>35</v>
      </c>
      <c r="F31">
        <v>31</v>
      </c>
      <c r="G31" t="s">
        <v>25</v>
      </c>
      <c r="H31" t="s">
        <v>26</v>
      </c>
      <c r="I31" t="s">
        <v>80</v>
      </c>
      <c r="J31" t="s">
        <v>47</v>
      </c>
      <c r="K31" t="s">
        <v>80</v>
      </c>
      <c r="L31" t="s">
        <v>89</v>
      </c>
      <c r="M31">
        <v>2</v>
      </c>
      <c r="N31">
        <v>40467</v>
      </c>
      <c r="O31">
        <v>15</v>
      </c>
      <c r="P31">
        <v>12140.1</v>
      </c>
      <c r="Q31">
        <v>68793.899999999994</v>
      </c>
      <c r="R31">
        <v>45994.46</v>
      </c>
      <c r="S31">
        <v>22799.439999999999</v>
      </c>
      <c r="T31" t="s">
        <v>55</v>
      </c>
      <c r="U31" t="s">
        <v>31</v>
      </c>
    </row>
    <row r="32" spans="1:21" x14ac:dyDescent="0.3">
      <c r="A32" t="s">
        <v>140</v>
      </c>
      <c r="B32" s="2">
        <v>45792</v>
      </c>
      <c r="C32" t="s">
        <v>141</v>
      </c>
      <c r="D32" t="s">
        <v>23</v>
      </c>
      <c r="E32" t="s">
        <v>24</v>
      </c>
      <c r="F32">
        <v>47</v>
      </c>
      <c r="G32" t="s">
        <v>59</v>
      </c>
      <c r="H32" t="s">
        <v>60</v>
      </c>
      <c r="I32" t="s">
        <v>80</v>
      </c>
      <c r="J32" t="s">
        <v>47</v>
      </c>
      <c r="K32" t="s">
        <v>80</v>
      </c>
      <c r="L32" t="s">
        <v>54</v>
      </c>
      <c r="M32">
        <v>2</v>
      </c>
      <c r="N32">
        <v>50468</v>
      </c>
      <c r="O32">
        <v>15</v>
      </c>
      <c r="P32">
        <v>15140.4</v>
      </c>
      <c r="Q32">
        <v>85795.6</v>
      </c>
      <c r="R32">
        <v>70698.399999999994</v>
      </c>
      <c r="S32">
        <v>15097.2</v>
      </c>
      <c r="T32" t="s">
        <v>55</v>
      </c>
      <c r="U32" t="s">
        <v>68</v>
      </c>
    </row>
    <row r="33" spans="1:21" x14ac:dyDescent="0.3">
      <c r="A33" t="s">
        <v>142</v>
      </c>
      <c r="B33" s="2">
        <v>45793</v>
      </c>
      <c r="C33" t="s">
        <v>143</v>
      </c>
      <c r="D33" t="s">
        <v>71</v>
      </c>
      <c r="E33" t="s">
        <v>35</v>
      </c>
      <c r="F33">
        <v>40</v>
      </c>
      <c r="G33" t="s">
        <v>44</v>
      </c>
      <c r="H33" t="s">
        <v>45</v>
      </c>
      <c r="I33" t="s">
        <v>94</v>
      </c>
      <c r="J33" t="s">
        <v>39</v>
      </c>
      <c r="K33" t="s">
        <v>94</v>
      </c>
      <c r="L33" t="s">
        <v>89</v>
      </c>
      <c r="M33">
        <v>4</v>
      </c>
      <c r="N33">
        <v>48471</v>
      </c>
      <c r="O33">
        <v>10</v>
      </c>
      <c r="P33">
        <v>19388.400000000001</v>
      </c>
      <c r="Q33">
        <v>174495.6</v>
      </c>
      <c r="R33">
        <v>128991.89</v>
      </c>
      <c r="S33">
        <v>45503.71</v>
      </c>
      <c r="T33" t="s">
        <v>64</v>
      </c>
      <c r="U33" t="s">
        <v>31</v>
      </c>
    </row>
    <row r="34" spans="1:21" x14ac:dyDescent="0.3">
      <c r="A34" t="s">
        <v>144</v>
      </c>
      <c r="B34" s="2">
        <v>45794</v>
      </c>
      <c r="C34" t="s">
        <v>145</v>
      </c>
      <c r="D34" t="s">
        <v>79</v>
      </c>
      <c r="E34" t="s">
        <v>24</v>
      </c>
      <c r="F34">
        <v>29</v>
      </c>
      <c r="G34" t="s">
        <v>146</v>
      </c>
      <c r="H34" t="s">
        <v>60</v>
      </c>
      <c r="I34" t="s">
        <v>67</v>
      </c>
      <c r="J34" t="s">
        <v>47</v>
      </c>
      <c r="K34" t="s">
        <v>67</v>
      </c>
      <c r="L34" t="s">
        <v>48</v>
      </c>
      <c r="M34">
        <v>5</v>
      </c>
      <c r="N34">
        <v>48302</v>
      </c>
      <c r="O34">
        <v>0</v>
      </c>
      <c r="P34">
        <v>0</v>
      </c>
      <c r="Q34">
        <v>241510</v>
      </c>
      <c r="R34">
        <v>149069.78</v>
      </c>
      <c r="S34">
        <v>92440.22</v>
      </c>
      <c r="T34" t="s">
        <v>95</v>
      </c>
      <c r="U34" t="s">
        <v>49</v>
      </c>
    </row>
    <row r="35" spans="1:21" x14ac:dyDescent="0.3">
      <c r="A35" t="s">
        <v>147</v>
      </c>
      <c r="B35" s="2">
        <v>45795</v>
      </c>
      <c r="C35" t="s">
        <v>148</v>
      </c>
      <c r="D35" t="s">
        <v>121</v>
      </c>
      <c r="E35" t="s">
        <v>24</v>
      </c>
      <c r="F35">
        <v>18</v>
      </c>
      <c r="G35" t="s">
        <v>98</v>
      </c>
      <c r="H35" t="s">
        <v>98</v>
      </c>
      <c r="I35" t="s">
        <v>80</v>
      </c>
      <c r="J35" t="s">
        <v>47</v>
      </c>
      <c r="K35" t="s">
        <v>80</v>
      </c>
      <c r="L35" t="s">
        <v>81</v>
      </c>
      <c r="M35">
        <v>4</v>
      </c>
      <c r="N35">
        <v>11009</v>
      </c>
      <c r="O35">
        <v>10</v>
      </c>
      <c r="P35">
        <v>4403.6000000000004</v>
      </c>
      <c r="Q35">
        <v>39632.400000000001</v>
      </c>
      <c r="R35">
        <v>29097.32</v>
      </c>
      <c r="S35">
        <v>10535.08</v>
      </c>
      <c r="T35" t="s">
        <v>40</v>
      </c>
      <c r="U35" t="s">
        <v>31</v>
      </c>
    </row>
    <row r="36" spans="1:21" x14ac:dyDescent="0.3">
      <c r="A36" t="s">
        <v>149</v>
      </c>
      <c r="B36" s="2">
        <v>45796</v>
      </c>
      <c r="C36" t="s">
        <v>150</v>
      </c>
      <c r="D36" t="s">
        <v>23</v>
      </c>
      <c r="E36" t="s">
        <v>35</v>
      </c>
      <c r="F36">
        <v>57</v>
      </c>
      <c r="G36" t="s">
        <v>110</v>
      </c>
      <c r="H36" t="s">
        <v>111</v>
      </c>
      <c r="I36" t="s">
        <v>94</v>
      </c>
      <c r="J36" t="s">
        <v>39</v>
      </c>
      <c r="K36" t="s">
        <v>94</v>
      </c>
      <c r="L36" t="s">
        <v>151</v>
      </c>
      <c r="M36">
        <v>2</v>
      </c>
      <c r="N36">
        <v>30856</v>
      </c>
      <c r="O36">
        <v>0</v>
      </c>
      <c r="P36">
        <v>0</v>
      </c>
      <c r="Q36">
        <v>61712</v>
      </c>
      <c r="R36">
        <v>43166.96</v>
      </c>
      <c r="S36">
        <v>18545.04</v>
      </c>
      <c r="T36" t="s">
        <v>55</v>
      </c>
      <c r="U36" t="s">
        <v>90</v>
      </c>
    </row>
    <row r="37" spans="1:21" x14ac:dyDescent="0.3">
      <c r="A37" t="s">
        <v>152</v>
      </c>
      <c r="B37" s="2">
        <v>45797</v>
      </c>
      <c r="C37" t="s">
        <v>153</v>
      </c>
      <c r="D37" t="s">
        <v>34</v>
      </c>
      <c r="E37" t="s">
        <v>24</v>
      </c>
      <c r="F37">
        <v>51</v>
      </c>
      <c r="G37" t="s">
        <v>110</v>
      </c>
      <c r="H37" t="s">
        <v>111</v>
      </c>
      <c r="I37" t="s">
        <v>63</v>
      </c>
      <c r="J37" t="s">
        <v>47</v>
      </c>
      <c r="K37" t="s">
        <v>63</v>
      </c>
      <c r="L37" t="s">
        <v>48</v>
      </c>
      <c r="M37">
        <v>5</v>
      </c>
      <c r="N37">
        <v>58617</v>
      </c>
      <c r="O37">
        <v>15</v>
      </c>
      <c r="P37">
        <v>43962.75</v>
      </c>
      <c r="Q37">
        <v>249122.25</v>
      </c>
      <c r="R37">
        <v>160561.20000000001</v>
      </c>
      <c r="S37">
        <v>88561.05</v>
      </c>
      <c r="T37" t="s">
        <v>95</v>
      </c>
      <c r="U37" t="s">
        <v>31</v>
      </c>
    </row>
    <row r="38" spans="1:21" x14ac:dyDescent="0.3">
      <c r="A38" t="s">
        <v>154</v>
      </c>
      <c r="B38" s="2">
        <v>45798</v>
      </c>
      <c r="C38" t="s">
        <v>155</v>
      </c>
      <c r="D38" t="s">
        <v>86</v>
      </c>
      <c r="E38" t="s">
        <v>24</v>
      </c>
      <c r="F38">
        <v>27</v>
      </c>
      <c r="G38" t="s">
        <v>101</v>
      </c>
      <c r="H38" t="s">
        <v>102</v>
      </c>
      <c r="I38" t="s">
        <v>80</v>
      </c>
      <c r="J38" t="s">
        <v>47</v>
      </c>
      <c r="K38" t="s">
        <v>80</v>
      </c>
      <c r="L38" t="s">
        <v>89</v>
      </c>
      <c r="M38">
        <v>2</v>
      </c>
      <c r="N38">
        <v>51713</v>
      </c>
      <c r="O38">
        <v>10</v>
      </c>
      <c r="P38">
        <v>10342.6</v>
      </c>
      <c r="Q38">
        <v>93083.4</v>
      </c>
      <c r="R38">
        <v>73568.34</v>
      </c>
      <c r="S38">
        <v>19515.060000000001</v>
      </c>
      <c r="T38" t="s">
        <v>30</v>
      </c>
      <c r="U38" t="s">
        <v>31</v>
      </c>
    </row>
    <row r="39" spans="1:21" x14ac:dyDescent="0.3">
      <c r="A39" t="s">
        <v>156</v>
      </c>
      <c r="B39" s="2">
        <v>45799</v>
      </c>
      <c r="C39" t="s">
        <v>120</v>
      </c>
      <c r="D39" t="s">
        <v>116</v>
      </c>
      <c r="E39" t="s">
        <v>24</v>
      </c>
      <c r="F39">
        <v>51</v>
      </c>
      <c r="G39" t="s">
        <v>87</v>
      </c>
      <c r="H39" t="s">
        <v>88</v>
      </c>
      <c r="I39" t="s">
        <v>38</v>
      </c>
      <c r="J39" t="s">
        <v>39</v>
      </c>
      <c r="K39" t="s">
        <v>38</v>
      </c>
      <c r="L39" t="s">
        <v>151</v>
      </c>
      <c r="M39">
        <v>5</v>
      </c>
      <c r="N39">
        <v>2721</v>
      </c>
      <c r="O39">
        <v>15</v>
      </c>
      <c r="P39">
        <v>2040.75</v>
      </c>
      <c r="Q39">
        <v>11564.25</v>
      </c>
      <c r="R39">
        <v>7125.66</v>
      </c>
      <c r="S39">
        <v>4438.59</v>
      </c>
      <c r="T39" t="s">
        <v>64</v>
      </c>
      <c r="U39" t="s">
        <v>31</v>
      </c>
    </row>
    <row r="40" spans="1:21" x14ac:dyDescent="0.3">
      <c r="A40" t="s">
        <v>157</v>
      </c>
      <c r="B40" s="2">
        <v>45800</v>
      </c>
      <c r="C40" t="s">
        <v>158</v>
      </c>
      <c r="D40" t="s">
        <v>116</v>
      </c>
      <c r="E40" t="s">
        <v>35</v>
      </c>
      <c r="F40">
        <v>51</v>
      </c>
      <c r="G40" t="s">
        <v>72</v>
      </c>
      <c r="H40" t="s">
        <v>73</v>
      </c>
      <c r="I40" t="s">
        <v>63</v>
      </c>
      <c r="J40" t="s">
        <v>47</v>
      </c>
      <c r="K40" t="s">
        <v>63</v>
      </c>
      <c r="L40" t="s">
        <v>81</v>
      </c>
      <c r="M40">
        <v>4</v>
      </c>
      <c r="N40">
        <v>24642</v>
      </c>
      <c r="O40">
        <v>0</v>
      </c>
      <c r="P40">
        <v>0</v>
      </c>
      <c r="Q40">
        <v>98568</v>
      </c>
      <c r="R40">
        <v>57787.43</v>
      </c>
      <c r="S40">
        <v>40780.57</v>
      </c>
      <c r="T40" t="s">
        <v>55</v>
      </c>
      <c r="U40" t="s">
        <v>90</v>
      </c>
    </row>
    <row r="41" spans="1:21" x14ac:dyDescent="0.3">
      <c r="A41" t="s">
        <v>159</v>
      </c>
      <c r="B41" s="2">
        <v>45801</v>
      </c>
      <c r="C41" t="s">
        <v>160</v>
      </c>
      <c r="D41" t="s">
        <v>71</v>
      </c>
      <c r="E41" t="s">
        <v>35</v>
      </c>
      <c r="F41">
        <v>57</v>
      </c>
      <c r="G41" t="s">
        <v>36</v>
      </c>
      <c r="H41" t="s">
        <v>37</v>
      </c>
      <c r="I41" t="s">
        <v>63</v>
      </c>
      <c r="J41" t="s">
        <v>47</v>
      </c>
      <c r="K41" t="s">
        <v>63</v>
      </c>
      <c r="L41" t="s">
        <v>105</v>
      </c>
      <c r="M41">
        <v>1</v>
      </c>
      <c r="N41">
        <v>51611</v>
      </c>
      <c r="O41">
        <v>15</v>
      </c>
      <c r="P41">
        <v>7741.65</v>
      </c>
      <c r="Q41">
        <v>43869.35</v>
      </c>
      <c r="R41">
        <v>24335.53</v>
      </c>
      <c r="S41">
        <v>19533.82</v>
      </c>
      <c r="T41" t="s">
        <v>40</v>
      </c>
      <c r="U41" t="s">
        <v>90</v>
      </c>
    </row>
    <row r="42" spans="1:21" x14ac:dyDescent="0.3">
      <c r="A42" t="s">
        <v>161</v>
      </c>
      <c r="B42" s="2">
        <v>45802</v>
      </c>
      <c r="C42" t="s">
        <v>162</v>
      </c>
      <c r="D42" t="s">
        <v>52</v>
      </c>
      <c r="E42" t="s">
        <v>35</v>
      </c>
      <c r="F42">
        <v>41</v>
      </c>
      <c r="G42" t="s">
        <v>101</v>
      </c>
      <c r="H42" t="s">
        <v>102</v>
      </c>
      <c r="I42" t="s">
        <v>94</v>
      </c>
      <c r="J42" t="s">
        <v>39</v>
      </c>
      <c r="K42" t="s">
        <v>94</v>
      </c>
      <c r="L42" t="s">
        <v>48</v>
      </c>
      <c r="M42">
        <v>1</v>
      </c>
      <c r="N42">
        <v>1187</v>
      </c>
      <c r="O42">
        <v>5</v>
      </c>
      <c r="P42">
        <v>59.35</v>
      </c>
      <c r="Q42">
        <v>1127.6500000000001</v>
      </c>
      <c r="R42">
        <v>836.57</v>
      </c>
      <c r="S42">
        <v>291.08</v>
      </c>
      <c r="T42" t="s">
        <v>55</v>
      </c>
      <c r="U42" t="s">
        <v>49</v>
      </c>
    </row>
    <row r="43" spans="1:21" x14ac:dyDescent="0.3">
      <c r="A43" t="s">
        <v>163</v>
      </c>
      <c r="B43" s="2">
        <v>45803</v>
      </c>
      <c r="C43" t="s">
        <v>164</v>
      </c>
      <c r="D43" t="s">
        <v>116</v>
      </c>
      <c r="E43" t="s">
        <v>24</v>
      </c>
      <c r="F43">
        <v>39</v>
      </c>
      <c r="G43" t="s">
        <v>146</v>
      </c>
      <c r="H43" t="s">
        <v>60</v>
      </c>
      <c r="I43" t="s">
        <v>53</v>
      </c>
      <c r="J43" t="s">
        <v>47</v>
      </c>
      <c r="K43" t="s">
        <v>53</v>
      </c>
      <c r="L43" t="s">
        <v>48</v>
      </c>
      <c r="M43">
        <v>3</v>
      </c>
      <c r="N43">
        <v>14697</v>
      </c>
      <c r="O43">
        <v>10</v>
      </c>
      <c r="P43">
        <v>4409.1000000000004</v>
      </c>
      <c r="Q43">
        <v>39681.9</v>
      </c>
      <c r="R43">
        <v>29836.05</v>
      </c>
      <c r="S43">
        <v>9845.85</v>
      </c>
      <c r="T43" t="s">
        <v>95</v>
      </c>
      <c r="U43" t="s">
        <v>31</v>
      </c>
    </row>
    <row r="44" spans="1:21" x14ac:dyDescent="0.3">
      <c r="A44" t="s">
        <v>165</v>
      </c>
      <c r="B44" s="2">
        <v>45804</v>
      </c>
      <c r="C44" t="s">
        <v>166</v>
      </c>
      <c r="D44" t="s">
        <v>167</v>
      </c>
      <c r="E44" t="s">
        <v>24</v>
      </c>
      <c r="F44">
        <v>19</v>
      </c>
      <c r="G44" t="s">
        <v>36</v>
      </c>
      <c r="H44" t="s">
        <v>37</v>
      </c>
      <c r="I44" t="s">
        <v>46</v>
      </c>
      <c r="J44" t="s">
        <v>47</v>
      </c>
      <c r="K44" t="s">
        <v>46</v>
      </c>
      <c r="L44" t="s">
        <v>168</v>
      </c>
      <c r="M44">
        <v>2</v>
      </c>
      <c r="N44">
        <v>5018</v>
      </c>
      <c r="O44">
        <v>10</v>
      </c>
      <c r="P44">
        <v>1003.6</v>
      </c>
      <c r="Q44">
        <v>9032.4</v>
      </c>
      <c r="R44">
        <v>5417.27</v>
      </c>
      <c r="S44">
        <v>3615.13</v>
      </c>
      <c r="T44" t="s">
        <v>95</v>
      </c>
      <c r="U44" t="s">
        <v>90</v>
      </c>
    </row>
    <row r="45" spans="1:21" x14ac:dyDescent="0.3">
      <c r="A45" t="s">
        <v>169</v>
      </c>
      <c r="B45" s="2">
        <v>45805</v>
      </c>
      <c r="C45" t="s">
        <v>170</v>
      </c>
      <c r="D45" t="s">
        <v>43</v>
      </c>
      <c r="E45" t="s">
        <v>35</v>
      </c>
      <c r="F45">
        <v>53</v>
      </c>
      <c r="G45" t="s">
        <v>110</v>
      </c>
      <c r="H45" t="s">
        <v>111</v>
      </c>
      <c r="I45" t="s">
        <v>38</v>
      </c>
      <c r="J45" t="s">
        <v>39</v>
      </c>
      <c r="K45" t="s">
        <v>38</v>
      </c>
      <c r="L45" t="s">
        <v>105</v>
      </c>
      <c r="M45">
        <v>1</v>
      </c>
      <c r="N45">
        <v>47510</v>
      </c>
      <c r="O45">
        <v>5</v>
      </c>
      <c r="P45">
        <v>2375.5</v>
      </c>
      <c r="Q45">
        <v>45134.5</v>
      </c>
      <c r="R45">
        <v>30685.17</v>
      </c>
      <c r="S45">
        <v>14449.33</v>
      </c>
      <c r="T45" t="s">
        <v>95</v>
      </c>
      <c r="U45" t="s">
        <v>31</v>
      </c>
    </row>
    <row r="46" spans="1:21" x14ac:dyDescent="0.3">
      <c r="A46" t="s">
        <v>171</v>
      </c>
      <c r="B46" s="2">
        <v>45806</v>
      </c>
      <c r="C46" t="s">
        <v>172</v>
      </c>
      <c r="D46" t="s">
        <v>116</v>
      </c>
      <c r="E46" t="s">
        <v>24</v>
      </c>
      <c r="F46">
        <v>56</v>
      </c>
      <c r="G46" t="s">
        <v>25</v>
      </c>
      <c r="H46" t="s">
        <v>26</v>
      </c>
      <c r="I46" t="s">
        <v>46</v>
      </c>
      <c r="J46" t="s">
        <v>47</v>
      </c>
      <c r="K46" t="s">
        <v>46</v>
      </c>
      <c r="L46" t="s">
        <v>151</v>
      </c>
      <c r="M46">
        <v>2</v>
      </c>
      <c r="N46">
        <v>45407</v>
      </c>
      <c r="O46">
        <v>5</v>
      </c>
      <c r="P46">
        <v>4540.7</v>
      </c>
      <c r="Q46">
        <v>86273.3</v>
      </c>
      <c r="R46">
        <v>70428.5</v>
      </c>
      <c r="S46">
        <v>15844.8</v>
      </c>
      <c r="T46" t="s">
        <v>95</v>
      </c>
      <c r="U46" t="s">
        <v>49</v>
      </c>
    </row>
    <row r="47" spans="1:21" x14ac:dyDescent="0.3">
      <c r="A47" t="s">
        <v>173</v>
      </c>
      <c r="B47" s="2">
        <v>45807</v>
      </c>
      <c r="C47" t="s">
        <v>174</v>
      </c>
      <c r="D47" t="s">
        <v>52</v>
      </c>
      <c r="E47" t="s">
        <v>35</v>
      </c>
      <c r="F47">
        <v>28</v>
      </c>
      <c r="G47" t="s">
        <v>101</v>
      </c>
      <c r="H47" t="s">
        <v>102</v>
      </c>
      <c r="I47" t="s">
        <v>53</v>
      </c>
      <c r="J47" t="s">
        <v>47</v>
      </c>
      <c r="K47" t="s">
        <v>53</v>
      </c>
      <c r="L47" t="s">
        <v>48</v>
      </c>
      <c r="M47">
        <v>2</v>
      </c>
      <c r="N47">
        <v>47307</v>
      </c>
      <c r="O47">
        <v>15</v>
      </c>
      <c r="P47">
        <v>14192.1</v>
      </c>
      <c r="Q47">
        <v>80421.899999999994</v>
      </c>
      <c r="R47">
        <v>64482.44</v>
      </c>
      <c r="S47">
        <v>15939.46</v>
      </c>
      <c r="T47" t="s">
        <v>55</v>
      </c>
      <c r="U47" t="s">
        <v>68</v>
      </c>
    </row>
    <row r="48" spans="1:21" x14ac:dyDescent="0.3">
      <c r="A48" t="s">
        <v>175</v>
      </c>
      <c r="B48" s="2">
        <v>45808</v>
      </c>
      <c r="C48" t="s">
        <v>176</v>
      </c>
      <c r="D48" t="s">
        <v>93</v>
      </c>
      <c r="E48" t="s">
        <v>24</v>
      </c>
      <c r="F48">
        <v>34</v>
      </c>
      <c r="G48" t="s">
        <v>59</v>
      </c>
      <c r="H48" t="s">
        <v>60</v>
      </c>
      <c r="I48" t="s">
        <v>63</v>
      </c>
      <c r="J48" t="s">
        <v>47</v>
      </c>
      <c r="K48" t="s">
        <v>63</v>
      </c>
      <c r="L48" t="s">
        <v>105</v>
      </c>
      <c r="M48">
        <v>2</v>
      </c>
      <c r="N48">
        <v>19514</v>
      </c>
      <c r="O48">
        <v>20</v>
      </c>
      <c r="P48">
        <v>7805.6</v>
      </c>
      <c r="Q48">
        <v>31222.400000000001</v>
      </c>
      <c r="R48">
        <v>25808.12</v>
      </c>
      <c r="S48">
        <v>5414.28</v>
      </c>
      <c r="T48" t="s">
        <v>95</v>
      </c>
      <c r="U48" t="s">
        <v>49</v>
      </c>
    </row>
    <row r="49" spans="1:21" x14ac:dyDescent="0.3">
      <c r="A49" t="s">
        <v>177</v>
      </c>
      <c r="B49" s="2">
        <v>45809</v>
      </c>
      <c r="C49" t="s">
        <v>178</v>
      </c>
      <c r="D49" t="s">
        <v>116</v>
      </c>
      <c r="E49" t="s">
        <v>24</v>
      </c>
      <c r="F49">
        <v>55</v>
      </c>
      <c r="G49" t="s">
        <v>87</v>
      </c>
      <c r="H49" t="s">
        <v>88</v>
      </c>
      <c r="I49" t="s">
        <v>67</v>
      </c>
      <c r="J49" t="s">
        <v>47</v>
      </c>
      <c r="K49" t="s">
        <v>67</v>
      </c>
      <c r="L49" t="s">
        <v>81</v>
      </c>
      <c r="M49">
        <v>5</v>
      </c>
      <c r="N49">
        <v>40087</v>
      </c>
      <c r="O49">
        <v>20</v>
      </c>
      <c r="P49">
        <v>40087</v>
      </c>
      <c r="Q49">
        <v>160348</v>
      </c>
      <c r="R49">
        <v>130096.31</v>
      </c>
      <c r="S49">
        <v>30251.69</v>
      </c>
      <c r="T49" t="s">
        <v>95</v>
      </c>
      <c r="U49" t="s">
        <v>68</v>
      </c>
    </row>
    <row r="50" spans="1:21" x14ac:dyDescent="0.3">
      <c r="A50" t="s">
        <v>179</v>
      </c>
      <c r="B50" s="2">
        <v>45810</v>
      </c>
      <c r="C50" t="s">
        <v>180</v>
      </c>
      <c r="D50" t="s">
        <v>121</v>
      </c>
      <c r="E50" t="s">
        <v>35</v>
      </c>
      <c r="F50">
        <v>41</v>
      </c>
      <c r="G50" t="s">
        <v>36</v>
      </c>
      <c r="H50" t="s">
        <v>37</v>
      </c>
      <c r="I50" t="s">
        <v>46</v>
      </c>
      <c r="J50" t="s">
        <v>47</v>
      </c>
      <c r="K50" t="s">
        <v>46</v>
      </c>
      <c r="L50" t="s">
        <v>151</v>
      </c>
      <c r="M50">
        <v>5</v>
      </c>
      <c r="N50">
        <v>26423</v>
      </c>
      <c r="O50">
        <v>20</v>
      </c>
      <c r="P50">
        <v>26423</v>
      </c>
      <c r="Q50">
        <v>105692</v>
      </c>
      <c r="R50">
        <v>83787.820000000007</v>
      </c>
      <c r="S50">
        <v>21904.18</v>
      </c>
      <c r="T50" t="s">
        <v>95</v>
      </c>
      <c r="U50" t="s">
        <v>90</v>
      </c>
    </row>
    <row r="51" spans="1:21" x14ac:dyDescent="0.3">
      <c r="A51" t="s">
        <v>181</v>
      </c>
      <c r="B51" s="2">
        <v>45811</v>
      </c>
      <c r="C51" t="s">
        <v>182</v>
      </c>
      <c r="D51" t="s">
        <v>52</v>
      </c>
      <c r="E51" t="s">
        <v>24</v>
      </c>
      <c r="F51">
        <v>41</v>
      </c>
      <c r="G51" t="s">
        <v>87</v>
      </c>
      <c r="H51" t="s">
        <v>88</v>
      </c>
      <c r="I51" t="s">
        <v>67</v>
      </c>
      <c r="J51" t="s">
        <v>47</v>
      </c>
      <c r="K51" t="s">
        <v>67</v>
      </c>
      <c r="L51" t="s">
        <v>48</v>
      </c>
      <c r="M51">
        <v>1</v>
      </c>
      <c r="N51">
        <v>13545</v>
      </c>
      <c r="O51">
        <v>20</v>
      </c>
      <c r="P51">
        <v>2709</v>
      </c>
      <c r="Q51">
        <v>10836</v>
      </c>
      <c r="R51">
        <v>6487.32</v>
      </c>
      <c r="S51">
        <v>4348.68</v>
      </c>
      <c r="T51" t="s">
        <v>64</v>
      </c>
      <c r="U51" t="s">
        <v>31</v>
      </c>
    </row>
    <row r="52" spans="1:21" x14ac:dyDescent="0.3">
      <c r="A52" t="s">
        <v>183</v>
      </c>
      <c r="B52" s="2">
        <v>45812</v>
      </c>
      <c r="C52" t="s">
        <v>184</v>
      </c>
      <c r="D52" t="s">
        <v>121</v>
      </c>
      <c r="E52" t="s">
        <v>24</v>
      </c>
      <c r="F52">
        <v>48</v>
      </c>
      <c r="G52" t="s">
        <v>110</v>
      </c>
      <c r="H52" t="s">
        <v>111</v>
      </c>
      <c r="I52" t="s">
        <v>46</v>
      </c>
      <c r="J52" t="s">
        <v>47</v>
      </c>
      <c r="K52" t="s">
        <v>46</v>
      </c>
      <c r="L52" t="s">
        <v>89</v>
      </c>
      <c r="M52">
        <v>5</v>
      </c>
      <c r="N52">
        <v>57084</v>
      </c>
      <c r="O52">
        <v>5</v>
      </c>
      <c r="P52">
        <v>14271</v>
      </c>
      <c r="Q52">
        <v>271149</v>
      </c>
      <c r="R52">
        <v>201009.33</v>
      </c>
      <c r="S52">
        <v>70139.67</v>
      </c>
      <c r="T52" t="s">
        <v>95</v>
      </c>
      <c r="U52" t="s">
        <v>90</v>
      </c>
    </row>
    <row r="53" spans="1:21" x14ac:dyDescent="0.3">
      <c r="A53" t="s">
        <v>185</v>
      </c>
      <c r="B53" s="2">
        <v>45813</v>
      </c>
      <c r="C53" t="s">
        <v>186</v>
      </c>
      <c r="D53" t="s">
        <v>79</v>
      </c>
      <c r="E53" t="s">
        <v>35</v>
      </c>
      <c r="F53">
        <v>43</v>
      </c>
      <c r="G53" t="s">
        <v>101</v>
      </c>
      <c r="H53" t="s">
        <v>102</v>
      </c>
      <c r="I53" t="s">
        <v>94</v>
      </c>
      <c r="J53" t="s">
        <v>39</v>
      </c>
      <c r="K53" t="s">
        <v>94</v>
      </c>
      <c r="L53" t="s">
        <v>89</v>
      </c>
      <c r="M53">
        <v>2</v>
      </c>
      <c r="N53">
        <v>54421</v>
      </c>
      <c r="O53">
        <v>20</v>
      </c>
      <c r="P53">
        <v>21768.400000000001</v>
      </c>
      <c r="Q53">
        <v>87073.600000000006</v>
      </c>
      <c r="R53">
        <v>55785.29</v>
      </c>
      <c r="S53">
        <v>31288.31</v>
      </c>
      <c r="T53" t="s">
        <v>30</v>
      </c>
      <c r="U53" t="s">
        <v>90</v>
      </c>
    </row>
    <row r="54" spans="1:21" x14ac:dyDescent="0.3">
      <c r="A54" t="s">
        <v>187</v>
      </c>
      <c r="B54" s="2">
        <v>45814</v>
      </c>
      <c r="C54" t="s">
        <v>188</v>
      </c>
      <c r="D54" t="s">
        <v>167</v>
      </c>
      <c r="E54" t="s">
        <v>24</v>
      </c>
      <c r="F54">
        <v>43</v>
      </c>
      <c r="G54" t="s">
        <v>87</v>
      </c>
      <c r="H54" t="s">
        <v>88</v>
      </c>
      <c r="I54" t="s">
        <v>27</v>
      </c>
      <c r="J54" t="s">
        <v>28</v>
      </c>
      <c r="K54" t="s">
        <v>27</v>
      </c>
      <c r="L54" t="s">
        <v>151</v>
      </c>
      <c r="M54">
        <v>1</v>
      </c>
      <c r="N54">
        <v>48910</v>
      </c>
      <c r="O54">
        <v>10</v>
      </c>
      <c r="P54">
        <v>4891</v>
      </c>
      <c r="Q54">
        <v>44019</v>
      </c>
      <c r="R54">
        <v>25399.11</v>
      </c>
      <c r="S54">
        <v>18619.89</v>
      </c>
      <c r="T54" t="s">
        <v>64</v>
      </c>
      <c r="U54" t="s">
        <v>31</v>
      </c>
    </row>
    <row r="55" spans="1:21" x14ac:dyDescent="0.3">
      <c r="A55" t="s">
        <v>189</v>
      </c>
      <c r="B55" s="2">
        <v>45815</v>
      </c>
      <c r="C55" t="s">
        <v>176</v>
      </c>
      <c r="D55" t="s">
        <v>121</v>
      </c>
      <c r="E55" t="s">
        <v>24</v>
      </c>
      <c r="F55">
        <v>43</v>
      </c>
      <c r="G55" t="s">
        <v>110</v>
      </c>
      <c r="H55" t="s">
        <v>111</v>
      </c>
      <c r="I55" t="s">
        <v>94</v>
      </c>
      <c r="J55" t="s">
        <v>39</v>
      </c>
      <c r="K55" t="s">
        <v>94</v>
      </c>
      <c r="L55" t="s">
        <v>89</v>
      </c>
      <c r="M55">
        <v>4</v>
      </c>
      <c r="N55">
        <v>56857</v>
      </c>
      <c r="O55">
        <v>10</v>
      </c>
      <c r="P55">
        <v>22742.799999999999</v>
      </c>
      <c r="Q55">
        <v>204685.2</v>
      </c>
      <c r="R55">
        <v>154659.09</v>
      </c>
      <c r="S55">
        <v>50026.11</v>
      </c>
      <c r="T55" t="s">
        <v>64</v>
      </c>
      <c r="U55" t="s">
        <v>31</v>
      </c>
    </row>
    <row r="56" spans="1:21" x14ac:dyDescent="0.3">
      <c r="A56" t="s">
        <v>190</v>
      </c>
      <c r="B56" s="2">
        <v>45816</v>
      </c>
      <c r="C56" t="s">
        <v>191</v>
      </c>
      <c r="D56" t="s">
        <v>43</v>
      </c>
      <c r="E56" t="s">
        <v>35</v>
      </c>
      <c r="F56">
        <v>24</v>
      </c>
      <c r="G56" t="s">
        <v>25</v>
      </c>
      <c r="H56" t="s">
        <v>26</v>
      </c>
      <c r="I56" t="s">
        <v>38</v>
      </c>
      <c r="J56" t="s">
        <v>39</v>
      </c>
      <c r="K56" t="s">
        <v>38</v>
      </c>
      <c r="L56" t="s">
        <v>151</v>
      </c>
      <c r="M56">
        <v>2</v>
      </c>
      <c r="N56">
        <v>36041</v>
      </c>
      <c r="O56">
        <v>10</v>
      </c>
      <c r="P56">
        <v>7208.2</v>
      </c>
      <c r="Q56">
        <v>64873.8</v>
      </c>
      <c r="R56">
        <v>53844.12</v>
      </c>
      <c r="S56">
        <v>11029.68</v>
      </c>
      <c r="T56" t="s">
        <v>64</v>
      </c>
      <c r="U56" t="s">
        <v>49</v>
      </c>
    </row>
    <row r="57" spans="1:21" x14ac:dyDescent="0.3">
      <c r="A57" t="s">
        <v>192</v>
      </c>
      <c r="B57" s="2">
        <v>45817</v>
      </c>
      <c r="C57" t="s">
        <v>193</v>
      </c>
      <c r="D57" t="s">
        <v>58</v>
      </c>
      <c r="E57" t="s">
        <v>35</v>
      </c>
      <c r="F57">
        <v>56</v>
      </c>
      <c r="G57" t="s">
        <v>101</v>
      </c>
      <c r="H57" t="s">
        <v>102</v>
      </c>
      <c r="I57" t="s">
        <v>53</v>
      </c>
      <c r="J57" t="s">
        <v>47</v>
      </c>
      <c r="K57" t="s">
        <v>53</v>
      </c>
      <c r="L57" t="s">
        <v>54</v>
      </c>
      <c r="M57">
        <v>2</v>
      </c>
      <c r="N57">
        <v>27400</v>
      </c>
      <c r="O57">
        <v>10</v>
      </c>
      <c r="P57">
        <v>5480</v>
      </c>
      <c r="Q57">
        <v>49320</v>
      </c>
      <c r="R57">
        <v>34250.22</v>
      </c>
      <c r="S57">
        <v>15069.78</v>
      </c>
      <c r="T57" t="s">
        <v>55</v>
      </c>
      <c r="U57" t="s">
        <v>49</v>
      </c>
    </row>
    <row r="58" spans="1:21" x14ac:dyDescent="0.3">
      <c r="A58" t="s">
        <v>194</v>
      </c>
      <c r="B58" s="2">
        <v>45818</v>
      </c>
      <c r="C58" t="s">
        <v>195</v>
      </c>
      <c r="D58" t="s">
        <v>86</v>
      </c>
      <c r="E58" t="s">
        <v>24</v>
      </c>
      <c r="F58">
        <v>29</v>
      </c>
      <c r="G58" t="s">
        <v>87</v>
      </c>
      <c r="H58" t="s">
        <v>88</v>
      </c>
      <c r="I58" t="s">
        <v>80</v>
      </c>
      <c r="J58" t="s">
        <v>47</v>
      </c>
      <c r="K58" t="s">
        <v>80</v>
      </c>
      <c r="L58" t="s">
        <v>151</v>
      </c>
      <c r="M58">
        <v>4</v>
      </c>
      <c r="N58">
        <v>53466</v>
      </c>
      <c r="O58">
        <v>5</v>
      </c>
      <c r="P58">
        <v>10693.2</v>
      </c>
      <c r="Q58">
        <v>203170.8</v>
      </c>
      <c r="R58">
        <v>162535.95000000001</v>
      </c>
      <c r="S58">
        <v>40634.85</v>
      </c>
      <c r="T58" t="s">
        <v>40</v>
      </c>
      <c r="U58" t="s">
        <v>90</v>
      </c>
    </row>
    <row r="59" spans="1:21" x14ac:dyDescent="0.3">
      <c r="A59" t="s">
        <v>196</v>
      </c>
      <c r="B59" s="2">
        <v>45819</v>
      </c>
      <c r="C59" t="s">
        <v>197</v>
      </c>
      <c r="D59" t="s">
        <v>167</v>
      </c>
      <c r="E59" t="s">
        <v>24</v>
      </c>
      <c r="F59">
        <v>21</v>
      </c>
      <c r="G59" t="s">
        <v>72</v>
      </c>
      <c r="H59" t="s">
        <v>73</v>
      </c>
      <c r="I59" t="s">
        <v>94</v>
      </c>
      <c r="J59" t="s">
        <v>39</v>
      </c>
      <c r="K59" t="s">
        <v>94</v>
      </c>
      <c r="L59" t="s">
        <v>48</v>
      </c>
      <c r="M59">
        <v>3</v>
      </c>
      <c r="N59">
        <v>5271</v>
      </c>
      <c r="O59">
        <v>20</v>
      </c>
      <c r="P59">
        <v>3162.6</v>
      </c>
      <c r="Q59">
        <v>12650.4</v>
      </c>
      <c r="R59">
        <v>8463.52</v>
      </c>
      <c r="S59">
        <v>4186.88</v>
      </c>
      <c r="T59" t="s">
        <v>55</v>
      </c>
      <c r="U59" t="s">
        <v>90</v>
      </c>
    </row>
    <row r="60" spans="1:21" x14ac:dyDescent="0.3">
      <c r="A60" t="s">
        <v>198</v>
      </c>
      <c r="B60" s="2">
        <v>45820</v>
      </c>
      <c r="C60" t="s">
        <v>199</v>
      </c>
      <c r="D60" t="s">
        <v>76</v>
      </c>
      <c r="E60" t="s">
        <v>35</v>
      </c>
      <c r="F60">
        <v>31</v>
      </c>
      <c r="G60" t="s">
        <v>101</v>
      </c>
      <c r="H60" t="s">
        <v>102</v>
      </c>
      <c r="I60" t="s">
        <v>94</v>
      </c>
      <c r="J60" t="s">
        <v>39</v>
      </c>
      <c r="K60" t="s">
        <v>94</v>
      </c>
      <c r="L60" t="s">
        <v>168</v>
      </c>
      <c r="M60">
        <v>5</v>
      </c>
      <c r="N60">
        <v>5653</v>
      </c>
      <c r="O60">
        <v>10</v>
      </c>
      <c r="P60">
        <v>2826.5</v>
      </c>
      <c r="Q60">
        <v>25438.5</v>
      </c>
      <c r="R60">
        <v>18372.990000000002</v>
      </c>
      <c r="S60">
        <v>7065.51</v>
      </c>
      <c r="T60" t="s">
        <v>40</v>
      </c>
      <c r="U60" t="s">
        <v>68</v>
      </c>
    </row>
    <row r="61" spans="1:21" x14ac:dyDescent="0.3">
      <c r="A61" t="s">
        <v>200</v>
      </c>
      <c r="B61" s="2">
        <v>45821</v>
      </c>
      <c r="C61" t="s">
        <v>201</v>
      </c>
      <c r="D61" t="s">
        <v>43</v>
      </c>
      <c r="E61" t="s">
        <v>35</v>
      </c>
      <c r="F61">
        <v>30</v>
      </c>
      <c r="G61" t="s">
        <v>59</v>
      </c>
      <c r="H61" t="s">
        <v>60</v>
      </c>
      <c r="I61" t="s">
        <v>46</v>
      </c>
      <c r="J61" t="s">
        <v>47</v>
      </c>
      <c r="K61" t="s">
        <v>46</v>
      </c>
      <c r="L61" t="s">
        <v>168</v>
      </c>
      <c r="M61">
        <v>1</v>
      </c>
      <c r="N61">
        <v>11204</v>
      </c>
      <c r="O61">
        <v>0</v>
      </c>
      <c r="P61">
        <v>0</v>
      </c>
      <c r="Q61">
        <v>11204</v>
      </c>
      <c r="R61">
        <v>9311.23</v>
      </c>
      <c r="S61">
        <v>1892.77</v>
      </c>
      <c r="T61" t="s">
        <v>40</v>
      </c>
      <c r="U61" t="s">
        <v>31</v>
      </c>
    </row>
    <row r="62" spans="1:21" x14ac:dyDescent="0.3">
      <c r="A62" t="s">
        <v>202</v>
      </c>
      <c r="B62" s="2">
        <v>45822</v>
      </c>
      <c r="C62" t="s">
        <v>70</v>
      </c>
      <c r="D62" t="s">
        <v>23</v>
      </c>
      <c r="E62" t="s">
        <v>35</v>
      </c>
      <c r="F62">
        <v>25</v>
      </c>
      <c r="G62" t="s">
        <v>25</v>
      </c>
      <c r="H62" t="s">
        <v>26</v>
      </c>
      <c r="I62" t="s">
        <v>80</v>
      </c>
      <c r="J62" t="s">
        <v>47</v>
      </c>
      <c r="K62" t="s">
        <v>80</v>
      </c>
      <c r="L62" t="s">
        <v>48</v>
      </c>
      <c r="M62">
        <v>1</v>
      </c>
      <c r="N62">
        <v>50957</v>
      </c>
      <c r="O62">
        <v>5</v>
      </c>
      <c r="P62">
        <v>2547.85</v>
      </c>
      <c r="Q62">
        <v>48409.15</v>
      </c>
      <c r="R62">
        <v>34799.96</v>
      </c>
      <c r="S62">
        <v>13609.19</v>
      </c>
      <c r="T62" t="s">
        <v>95</v>
      </c>
      <c r="U62" t="s">
        <v>31</v>
      </c>
    </row>
    <row r="63" spans="1:21" x14ac:dyDescent="0.3">
      <c r="A63" t="s">
        <v>203</v>
      </c>
      <c r="B63" s="2">
        <v>45823</v>
      </c>
      <c r="C63" t="s">
        <v>204</v>
      </c>
      <c r="D63" t="s">
        <v>128</v>
      </c>
      <c r="E63" t="s">
        <v>24</v>
      </c>
      <c r="F63">
        <v>51</v>
      </c>
      <c r="G63" t="s">
        <v>72</v>
      </c>
      <c r="H63" t="s">
        <v>73</v>
      </c>
      <c r="I63" t="s">
        <v>67</v>
      </c>
      <c r="J63" t="s">
        <v>47</v>
      </c>
      <c r="K63" t="s">
        <v>67</v>
      </c>
      <c r="L63" t="s">
        <v>168</v>
      </c>
      <c r="M63">
        <v>2</v>
      </c>
      <c r="N63">
        <v>44544</v>
      </c>
      <c r="O63">
        <v>0</v>
      </c>
      <c r="P63">
        <v>0</v>
      </c>
      <c r="Q63">
        <v>89088</v>
      </c>
      <c r="R63">
        <v>56911.72</v>
      </c>
      <c r="S63">
        <v>32176.28</v>
      </c>
      <c r="T63" t="s">
        <v>30</v>
      </c>
      <c r="U63" t="s">
        <v>31</v>
      </c>
    </row>
    <row r="64" spans="1:21" x14ac:dyDescent="0.3">
      <c r="A64" t="s">
        <v>205</v>
      </c>
      <c r="B64" s="2">
        <v>45824</v>
      </c>
      <c r="C64" t="s">
        <v>206</v>
      </c>
      <c r="D64" t="s">
        <v>133</v>
      </c>
      <c r="E64" t="s">
        <v>35</v>
      </c>
      <c r="F64">
        <v>32</v>
      </c>
      <c r="G64" t="s">
        <v>59</v>
      </c>
      <c r="H64" t="s">
        <v>60</v>
      </c>
      <c r="I64" t="s">
        <v>94</v>
      </c>
      <c r="J64" t="s">
        <v>39</v>
      </c>
      <c r="K64" t="s">
        <v>94</v>
      </c>
      <c r="L64" t="s">
        <v>54</v>
      </c>
      <c r="M64">
        <v>5</v>
      </c>
      <c r="N64">
        <v>24538</v>
      </c>
      <c r="O64">
        <v>10</v>
      </c>
      <c r="P64">
        <v>12269</v>
      </c>
      <c r="Q64">
        <v>110421</v>
      </c>
      <c r="R64">
        <v>89689.65</v>
      </c>
      <c r="S64">
        <v>20731.349999999999</v>
      </c>
      <c r="T64" t="s">
        <v>30</v>
      </c>
      <c r="U64" t="s">
        <v>31</v>
      </c>
    </row>
    <row r="65" spans="1:21" x14ac:dyDescent="0.3">
      <c r="A65" t="s">
        <v>207</v>
      </c>
      <c r="B65" s="2">
        <v>45825</v>
      </c>
      <c r="C65" t="s">
        <v>208</v>
      </c>
      <c r="D65" t="s">
        <v>79</v>
      </c>
      <c r="E65" t="s">
        <v>24</v>
      </c>
      <c r="F65">
        <v>54</v>
      </c>
      <c r="G65" t="s">
        <v>44</v>
      </c>
      <c r="H65" t="s">
        <v>45</v>
      </c>
      <c r="I65" t="s">
        <v>46</v>
      </c>
      <c r="J65" t="s">
        <v>47</v>
      </c>
      <c r="K65" t="s">
        <v>46</v>
      </c>
      <c r="L65" t="s">
        <v>54</v>
      </c>
      <c r="M65">
        <v>1</v>
      </c>
      <c r="N65">
        <v>53877</v>
      </c>
      <c r="O65">
        <v>10</v>
      </c>
      <c r="P65">
        <v>5387.7</v>
      </c>
      <c r="Q65">
        <v>48489.3</v>
      </c>
      <c r="R65">
        <v>27734.07</v>
      </c>
      <c r="S65">
        <v>20755.23</v>
      </c>
      <c r="T65" t="s">
        <v>40</v>
      </c>
      <c r="U65" t="s">
        <v>49</v>
      </c>
    </row>
    <row r="66" spans="1:21" x14ac:dyDescent="0.3">
      <c r="A66" t="s">
        <v>209</v>
      </c>
      <c r="B66" s="2">
        <v>45826</v>
      </c>
      <c r="C66" t="s">
        <v>210</v>
      </c>
      <c r="D66" t="s">
        <v>79</v>
      </c>
      <c r="E66" t="s">
        <v>24</v>
      </c>
      <c r="F66">
        <v>40</v>
      </c>
      <c r="G66" t="s">
        <v>110</v>
      </c>
      <c r="H66" t="s">
        <v>111</v>
      </c>
      <c r="I66" t="s">
        <v>80</v>
      </c>
      <c r="J66" t="s">
        <v>47</v>
      </c>
      <c r="K66" t="s">
        <v>80</v>
      </c>
      <c r="L66" t="s">
        <v>29</v>
      </c>
      <c r="M66">
        <v>1</v>
      </c>
      <c r="N66">
        <v>58236</v>
      </c>
      <c r="O66">
        <v>5</v>
      </c>
      <c r="P66">
        <v>2911.8</v>
      </c>
      <c r="Q66">
        <v>55324.2</v>
      </c>
      <c r="R66">
        <v>42447.67</v>
      </c>
      <c r="S66">
        <v>12876.53</v>
      </c>
      <c r="T66" t="s">
        <v>64</v>
      </c>
      <c r="U66" t="s">
        <v>31</v>
      </c>
    </row>
    <row r="67" spans="1:21" x14ac:dyDescent="0.3">
      <c r="A67" t="s">
        <v>211</v>
      </c>
      <c r="B67" s="2">
        <v>45827</v>
      </c>
      <c r="C67" t="s">
        <v>212</v>
      </c>
      <c r="D67" t="s">
        <v>167</v>
      </c>
      <c r="E67" t="s">
        <v>24</v>
      </c>
      <c r="F67">
        <v>32</v>
      </c>
      <c r="G67" t="s">
        <v>44</v>
      </c>
      <c r="H67" t="s">
        <v>45</v>
      </c>
      <c r="I67" t="s">
        <v>38</v>
      </c>
      <c r="J67" t="s">
        <v>39</v>
      </c>
      <c r="K67" t="s">
        <v>38</v>
      </c>
      <c r="L67" t="s">
        <v>105</v>
      </c>
      <c r="M67">
        <v>2</v>
      </c>
      <c r="N67">
        <v>11254</v>
      </c>
      <c r="O67">
        <v>0</v>
      </c>
      <c r="P67">
        <v>0</v>
      </c>
      <c r="Q67">
        <v>22508</v>
      </c>
      <c r="R67">
        <v>13515.97</v>
      </c>
      <c r="S67">
        <v>8992.0300000000007</v>
      </c>
      <c r="T67" t="s">
        <v>40</v>
      </c>
      <c r="U67" t="s">
        <v>49</v>
      </c>
    </row>
    <row r="68" spans="1:21" x14ac:dyDescent="0.3">
      <c r="A68" t="s">
        <v>213</v>
      </c>
      <c r="B68" s="2">
        <v>45828</v>
      </c>
      <c r="C68" t="s">
        <v>214</v>
      </c>
      <c r="D68" t="s">
        <v>128</v>
      </c>
      <c r="E68" t="s">
        <v>35</v>
      </c>
      <c r="F68">
        <v>56</v>
      </c>
      <c r="G68" t="s">
        <v>146</v>
      </c>
      <c r="H68" t="s">
        <v>60</v>
      </c>
      <c r="I68" t="s">
        <v>53</v>
      </c>
      <c r="J68" t="s">
        <v>47</v>
      </c>
      <c r="K68" t="s">
        <v>53</v>
      </c>
      <c r="L68" t="s">
        <v>151</v>
      </c>
      <c r="M68">
        <v>1</v>
      </c>
      <c r="N68">
        <v>48538</v>
      </c>
      <c r="O68">
        <v>15</v>
      </c>
      <c r="P68">
        <v>7280.7</v>
      </c>
      <c r="Q68">
        <v>41257.300000000003</v>
      </c>
      <c r="R68">
        <v>27197.94</v>
      </c>
      <c r="S68">
        <v>14059.36</v>
      </c>
      <c r="T68" t="s">
        <v>64</v>
      </c>
      <c r="U68" t="s">
        <v>31</v>
      </c>
    </row>
    <row r="69" spans="1:21" x14ac:dyDescent="0.3">
      <c r="A69" t="s">
        <v>215</v>
      </c>
      <c r="B69" s="2">
        <v>45829</v>
      </c>
      <c r="C69" t="s">
        <v>123</v>
      </c>
      <c r="D69" t="s">
        <v>86</v>
      </c>
      <c r="E69" t="s">
        <v>24</v>
      </c>
      <c r="F69">
        <v>19</v>
      </c>
      <c r="G69" t="s">
        <v>87</v>
      </c>
      <c r="H69" t="s">
        <v>88</v>
      </c>
      <c r="I69" t="s">
        <v>63</v>
      </c>
      <c r="J69" t="s">
        <v>47</v>
      </c>
      <c r="K69" t="s">
        <v>63</v>
      </c>
      <c r="L69" t="s">
        <v>48</v>
      </c>
      <c r="M69">
        <v>2</v>
      </c>
      <c r="N69">
        <v>5311</v>
      </c>
      <c r="O69">
        <v>15</v>
      </c>
      <c r="P69">
        <v>1593.3</v>
      </c>
      <c r="Q69">
        <v>9028.7000000000007</v>
      </c>
      <c r="R69">
        <v>5726.38</v>
      </c>
      <c r="S69">
        <v>3302.32</v>
      </c>
      <c r="T69" t="s">
        <v>40</v>
      </c>
      <c r="U69" t="s">
        <v>68</v>
      </c>
    </row>
    <row r="70" spans="1:21" x14ac:dyDescent="0.3">
      <c r="A70" t="s">
        <v>216</v>
      </c>
      <c r="B70" s="2">
        <v>45830</v>
      </c>
      <c r="C70" t="s">
        <v>217</v>
      </c>
      <c r="D70" t="s">
        <v>34</v>
      </c>
      <c r="E70" t="s">
        <v>35</v>
      </c>
      <c r="F70">
        <v>29</v>
      </c>
      <c r="G70" t="s">
        <v>72</v>
      </c>
      <c r="H70" t="s">
        <v>73</v>
      </c>
      <c r="I70" t="s">
        <v>46</v>
      </c>
      <c r="J70" t="s">
        <v>47</v>
      </c>
      <c r="K70" t="s">
        <v>46</v>
      </c>
      <c r="L70" t="s">
        <v>168</v>
      </c>
      <c r="M70">
        <v>1</v>
      </c>
      <c r="N70">
        <v>47869</v>
      </c>
      <c r="O70">
        <v>15</v>
      </c>
      <c r="P70">
        <v>7180.35</v>
      </c>
      <c r="Q70">
        <v>40688.65</v>
      </c>
      <c r="R70">
        <v>28807.279999999999</v>
      </c>
      <c r="S70">
        <v>11881.37</v>
      </c>
      <c r="T70" t="s">
        <v>55</v>
      </c>
      <c r="U70" t="s">
        <v>31</v>
      </c>
    </row>
    <row r="71" spans="1:21" x14ac:dyDescent="0.3">
      <c r="A71" t="s">
        <v>218</v>
      </c>
      <c r="B71" s="2">
        <v>45831</v>
      </c>
      <c r="C71" t="s">
        <v>219</v>
      </c>
      <c r="D71" t="s">
        <v>167</v>
      </c>
      <c r="E71" t="s">
        <v>24</v>
      </c>
      <c r="F71">
        <v>29</v>
      </c>
      <c r="G71" t="s">
        <v>98</v>
      </c>
      <c r="H71" t="s">
        <v>98</v>
      </c>
      <c r="I71" t="s">
        <v>63</v>
      </c>
      <c r="J71" t="s">
        <v>47</v>
      </c>
      <c r="K71" t="s">
        <v>63</v>
      </c>
      <c r="L71" t="s">
        <v>54</v>
      </c>
      <c r="M71">
        <v>4</v>
      </c>
      <c r="N71">
        <v>32038</v>
      </c>
      <c r="O71">
        <v>10</v>
      </c>
      <c r="P71">
        <v>12815.2</v>
      </c>
      <c r="Q71">
        <v>115336.8</v>
      </c>
      <c r="R71">
        <v>90460.6</v>
      </c>
      <c r="S71">
        <v>24876.2</v>
      </c>
      <c r="T71" t="s">
        <v>95</v>
      </c>
      <c r="U71" t="s">
        <v>31</v>
      </c>
    </row>
    <row r="72" spans="1:21" x14ac:dyDescent="0.3">
      <c r="A72" t="s">
        <v>220</v>
      </c>
      <c r="B72" s="2">
        <v>45832</v>
      </c>
      <c r="C72" t="s">
        <v>221</v>
      </c>
      <c r="D72" t="s">
        <v>167</v>
      </c>
      <c r="E72" t="s">
        <v>35</v>
      </c>
      <c r="F72">
        <v>26</v>
      </c>
      <c r="G72" t="s">
        <v>44</v>
      </c>
      <c r="H72" t="s">
        <v>45</v>
      </c>
      <c r="I72" t="s">
        <v>53</v>
      </c>
      <c r="J72" t="s">
        <v>47</v>
      </c>
      <c r="K72" t="s">
        <v>53</v>
      </c>
      <c r="L72" t="s">
        <v>89</v>
      </c>
      <c r="M72">
        <v>5</v>
      </c>
      <c r="N72">
        <v>4992</v>
      </c>
      <c r="O72">
        <v>0</v>
      </c>
      <c r="P72">
        <v>0</v>
      </c>
      <c r="Q72">
        <v>24960</v>
      </c>
      <c r="R72">
        <v>17228.04</v>
      </c>
      <c r="S72">
        <v>7731.96</v>
      </c>
      <c r="T72" t="s">
        <v>40</v>
      </c>
      <c r="U72" t="s">
        <v>68</v>
      </c>
    </row>
    <row r="73" spans="1:21" x14ac:dyDescent="0.3">
      <c r="A73" t="s">
        <v>222</v>
      </c>
      <c r="B73" s="2">
        <v>45833</v>
      </c>
      <c r="C73" t="s">
        <v>223</v>
      </c>
      <c r="D73" t="s">
        <v>58</v>
      </c>
      <c r="E73" t="s">
        <v>35</v>
      </c>
      <c r="F73">
        <v>37</v>
      </c>
      <c r="G73" t="s">
        <v>87</v>
      </c>
      <c r="H73" t="s">
        <v>88</v>
      </c>
      <c r="I73" t="s">
        <v>67</v>
      </c>
      <c r="J73" t="s">
        <v>47</v>
      </c>
      <c r="K73" t="s">
        <v>67</v>
      </c>
      <c r="L73" t="s">
        <v>105</v>
      </c>
      <c r="M73">
        <v>5</v>
      </c>
      <c r="N73">
        <v>19077</v>
      </c>
      <c r="O73">
        <v>20</v>
      </c>
      <c r="P73">
        <v>19077</v>
      </c>
      <c r="Q73">
        <v>76308</v>
      </c>
      <c r="R73">
        <v>61650.12</v>
      </c>
      <c r="S73">
        <v>14657.88</v>
      </c>
      <c r="T73" t="s">
        <v>30</v>
      </c>
      <c r="U73" t="s">
        <v>31</v>
      </c>
    </row>
    <row r="74" spans="1:21" x14ac:dyDescent="0.3">
      <c r="A74" t="s">
        <v>224</v>
      </c>
      <c r="B74" s="2">
        <v>45834</v>
      </c>
      <c r="C74" t="s">
        <v>225</v>
      </c>
      <c r="D74" t="s">
        <v>58</v>
      </c>
      <c r="E74" t="s">
        <v>35</v>
      </c>
      <c r="F74">
        <v>54</v>
      </c>
      <c r="G74" t="s">
        <v>72</v>
      </c>
      <c r="H74" t="s">
        <v>73</v>
      </c>
      <c r="I74" t="s">
        <v>80</v>
      </c>
      <c r="J74" t="s">
        <v>47</v>
      </c>
      <c r="K74" t="s">
        <v>80</v>
      </c>
      <c r="L74" t="s">
        <v>105</v>
      </c>
      <c r="M74">
        <v>2</v>
      </c>
      <c r="N74">
        <v>23080</v>
      </c>
      <c r="O74">
        <v>10</v>
      </c>
      <c r="P74">
        <v>4616</v>
      </c>
      <c r="Q74">
        <v>41544</v>
      </c>
      <c r="R74">
        <v>26342.27</v>
      </c>
      <c r="S74">
        <v>15201.73</v>
      </c>
      <c r="T74" t="s">
        <v>40</v>
      </c>
      <c r="U74" t="s">
        <v>49</v>
      </c>
    </row>
    <row r="75" spans="1:21" x14ac:dyDescent="0.3">
      <c r="A75" t="s">
        <v>226</v>
      </c>
      <c r="B75" s="2">
        <v>45835</v>
      </c>
      <c r="C75" t="s">
        <v>227</v>
      </c>
      <c r="D75" t="s">
        <v>86</v>
      </c>
      <c r="E75" t="s">
        <v>35</v>
      </c>
      <c r="F75">
        <v>60</v>
      </c>
      <c r="G75" t="s">
        <v>25</v>
      </c>
      <c r="H75" t="s">
        <v>26</v>
      </c>
      <c r="I75" t="s">
        <v>38</v>
      </c>
      <c r="J75" t="s">
        <v>39</v>
      </c>
      <c r="K75" t="s">
        <v>38</v>
      </c>
      <c r="L75" t="s">
        <v>105</v>
      </c>
      <c r="M75">
        <v>3</v>
      </c>
      <c r="N75">
        <v>37688</v>
      </c>
      <c r="O75">
        <v>5</v>
      </c>
      <c r="P75">
        <v>5653.2</v>
      </c>
      <c r="Q75">
        <v>107410.8</v>
      </c>
      <c r="R75">
        <v>87818.67</v>
      </c>
      <c r="S75">
        <v>19592.13</v>
      </c>
      <c r="T75" t="s">
        <v>95</v>
      </c>
      <c r="U75" t="s">
        <v>31</v>
      </c>
    </row>
    <row r="76" spans="1:21" x14ac:dyDescent="0.3">
      <c r="A76" t="s">
        <v>228</v>
      </c>
      <c r="B76" s="2">
        <v>45836</v>
      </c>
      <c r="C76" t="s">
        <v>229</v>
      </c>
      <c r="D76" t="s">
        <v>86</v>
      </c>
      <c r="E76" t="s">
        <v>24</v>
      </c>
      <c r="F76">
        <v>38</v>
      </c>
      <c r="G76" t="s">
        <v>146</v>
      </c>
      <c r="H76" t="s">
        <v>60</v>
      </c>
      <c r="I76" t="s">
        <v>67</v>
      </c>
      <c r="J76" t="s">
        <v>47</v>
      </c>
      <c r="K76" t="s">
        <v>67</v>
      </c>
      <c r="L76" t="s">
        <v>81</v>
      </c>
      <c r="M76">
        <v>1</v>
      </c>
      <c r="N76">
        <v>26713</v>
      </c>
      <c r="O76">
        <v>20</v>
      </c>
      <c r="P76">
        <v>5342.6</v>
      </c>
      <c r="Q76">
        <v>21370.400000000001</v>
      </c>
      <c r="R76">
        <v>16538.82</v>
      </c>
      <c r="S76">
        <v>4831.58</v>
      </c>
      <c r="T76" t="s">
        <v>55</v>
      </c>
      <c r="U76" t="s">
        <v>68</v>
      </c>
    </row>
    <row r="77" spans="1:21" x14ac:dyDescent="0.3">
      <c r="A77" t="s">
        <v>230</v>
      </c>
      <c r="B77" s="2">
        <v>45837</v>
      </c>
      <c r="C77" t="s">
        <v>231</v>
      </c>
      <c r="D77" t="s">
        <v>121</v>
      </c>
      <c r="E77" t="s">
        <v>24</v>
      </c>
      <c r="F77">
        <v>42</v>
      </c>
      <c r="G77" t="s">
        <v>44</v>
      </c>
      <c r="H77" t="s">
        <v>45</v>
      </c>
      <c r="I77" t="s">
        <v>27</v>
      </c>
      <c r="J77" t="s">
        <v>28</v>
      </c>
      <c r="K77" t="s">
        <v>27</v>
      </c>
      <c r="L77" t="s">
        <v>81</v>
      </c>
      <c r="M77">
        <v>4</v>
      </c>
      <c r="N77">
        <v>15080</v>
      </c>
      <c r="O77">
        <v>0</v>
      </c>
      <c r="P77">
        <v>0</v>
      </c>
      <c r="Q77">
        <v>60320</v>
      </c>
      <c r="R77">
        <v>41340.57</v>
      </c>
      <c r="S77">
        <v>18979.43</v>
      </c>
      <c r="T77" t="s">
        <v>64</v>
      </c>
      <c r="U77" t="s">
        <v>31</v>
      </c>
    </row>
    <row r="78" spans="1:21" x14ac:dyDescent="0.3">
      <c r="A78" t="s">
        <v>232</v>
      </c>
      <c r="B78" s="2">
        <v>45838</v>
      </c>
      <c r="C78" t="s">
        <v>233</v>
      </c>
      <c r="D78" t="s">
        <v>79</v>
      </c>
      <c r="E78" t="s">
        <v>24</v>
      </c>
      <c r="F78">
        <v>48</v>
      </c>
      <c r="G78" t="s">
        <v>110</v>
      </c>
      <c r="H78" t="s">
        <v>111</v>
      </c>
      <c r="I78" t="s">
        <v>94</v>
      </c>
      <c r="J78" t="s">
        <v>39</v>
      </c>
      <c r="K78" t="s">
        <v>94</v>
      </c>
      <c r="L78" t="s">
        <v>168</v>
      </c>
      <c r="M78">
        <v>1</v>
      </c>
      <c r="N78">
        <v>33197</v>
      </c>
      <c r="O78">
        <v>0</v>
      </c>
      <c r="P78">
        <v>0</v>
      </c>
      <c r="Q78">
        <v>33197</v>
      </c>
      <c r="R78">
        <v>19852.68</v>
      </c>
      <c r="S78">
        <v>13344.32</v>
      </c>
      <c r="T78" t="s">
        <v>30</v>
      </c>
      <c r="U78" t="s">
        <v>49</v>
      </c>
    </row>
    <row r="79" spans="1:21" x14ac:dyDescent="0.3">
      <c r="A79" t="s">
        <v>234</v>
      </c>
      <c r="B79" s="2">
        <v>45839</v>
      </c>
      <c r="C79" t="s">
        <v>235</v>
      </c>
      <c r="D79" t="s">
        <v>116</v>
      </c>
      <c r="E79" t="s">
        <v>35</v>
      </c>
      <c r="F79">
        <v>31</v>
      </c>
      <c r="G79" t="s">
        <v>44</v>
      </c>
      <c r="H79" t="s">
        <v>45</v>
      </c>
      <c r="I79" t="s">
        <v>94</v>
      </c>
      <c r="J79" t="s">
        <v>39</v>
      </c>
      <c r="K79" t="s">
        <v>94</v>
      </c>
      <c r="L79" t="s">
        <v>54</v>
      </c>
      <c r="M79">
        <v>4</v>
      </c>
      <c r="N79">
        <v>23233</v>
      </c>
      <c r="O79">
        <v>5</v>
      </c>
      <c r="P79">
        <v>4646.6000000000004</v>
      </c>
      <c r="Q79">
        <v>88285.4</v>
      </c>
      <c r="R79">
        <v>74311</v>
      </c>
      <c r="S79">
        <v>13974.4</v>
      </c>
      <c r="T79" t="s">
        <v>95</v>
      </c>
      <c r="U79" t="s">
        <v>31</v>
      </c>
    </row>
    <row r="80" spans="1:21" x14ac:dyDescent="0.3">
      <c r="A80" t="s">
        <v>236</v>
      </c>
      <c r="B80" s="2">
        <v>45840</v>
      </c>
      <c r="C80" t="s">
        <v>237</v>
      </c>
      <c r="D80" t="s">
        <v>93</v>
      </c>
      <c r="E80" t="s">
        <v>35</v>
      </c>
      <c r="F80">
        <v>55</v>
      </c>
      <c r="G80" t="s">
        <v>87</v>
      </c>
      <c r="H80" t="s">
        <v>88</v>
      </c>
      <c r="I80" t="s">
        <v>63</v>
      </c>
      <c r="J80" t="s">
        <v>47</v>
      </c>
      <c r="K80" t="s">
        <v>63</v>
      </c>
      <c r="L80" t="s">
        <v>168</v>
      </c>
      <c r="M80">
        <v>2</v>
      </c>
      <c r="N80">
        <v>36402</v>
      </c>
      <c r="O80">
        <v>5</v>
      </c>
      <c r="P80">
        <v>3640.2</v>
      </c>
      <c r="Q80">
        <v>69163.8</v>
      </c>
      <c r="R80">
        <v>49214.720000000001</v>
      </c>
      <c r="S80">
        <v>19949.080000000002</v>
      </c>
      <c r="T80" t="s">
        <v>40</v>
      </c>
      <c r="U80" t="s">
        <v>31</v>
      </c>
    </row>
    <row r="81" spans="1:21" x14ac:dyDescent="0.3">
      <c r="A81" t="s">
        <v>238</v>
      </c>
      <c r="B81" s="2">
        <v>45841</v>
      </c>
      <c r="C81" t="s">
        <v>239</v>
      </c>
      <c r="D81" t="s">
        <v>128</v>
      </c>
      <c r="E81" t="s">
        <v>35</v>
      </c>
      <c r="F81">
        <v>37</v>
      </c>
      <c r="G81" t="s">
        <v>59</v>
      </c>
      <c r="H81" t="s">
        <v>60</v>
      </c>
      <c r="I81" t="s">
        <v>27</v>
      </c>
      <c r="J81" t="s">
        <v>28</v>
      </c>
      <c r="K81" t="s">
        <v>27</v>
      </c>
      <c r="L81" t="s">
        <v>168</v>
      </c>
      <c r="M81">
        <v>2</v>
      </c>
      <c r="N81">
        <v>9463</v>
      </c>
      <c r="O81">
        <v>20</v>
      </c>
      <c r="P81">
        <v>3785.2</v>
      </c>
      <c r="Q81">
        <v>15140.8</v>
      </c>
      <c r="R81">
        <v>11413.02</v>
      </c>
      <c r="S81">
        <v>3727.78</v>
      </c>
      <c r="T81" t="s">
        <v>64</v>
      </c>
      <c r="U81" t="s">
        <v>90</v>
      </c>
    </row>
    <row r="82" spans="1:21" x14ac:dyDescent="0.3">
      <c r="A82" t="s">
        <v>240</v>
      </c>
      <c r="B82" s="2">
        <v>45842</v>
      </c>
      <c r="C82" t="s">
        <v>241</v>
      </c>
      <c r="D82" t="s">
        <v>116</v>
      </c>
      <c r="E82" t="s">
        <v>35</v>
      </c>
      <c r="F82">
        <v>26</v>
      </c>
      <c r="G82" t="s">
        <v>98</v>
      </c>
      <c r="H82" t="s">
        <v>98</v>
      </c>
      <c r="I82" t="s">
        <v>94</v>
      </c>
      <c r="J82" t="s">
        <v>39</v>
      </c>
      <c r="K82" t="s">
        <v>94</v>
      </c>
      <c r="L82" t="s">
        <v>168</v>
      </c>
      <c r="M82">
        <v>3</v>
      </c>
      <c r="N82">
        <v>26968</v>
      </c>
      <c r="O82">
        <v>10</v>
      </c>
      <c r="P82">
        <v>8090.4</v>
      </c>
      <c r="Q82">
        <v>72813.600000000006</v>
      </c>
      <c r="R82">
        <v>59908.33</v>
      </c>
      <c r="S82">
        <v>12905.27</v>
      </c>
      <c r="T82" t="s">
        <v>30</v>
      </c>
      <c r="U82" t="s">
        <v>68</v>
      </c>
    </row>
    <row r="83" spans="1:21" x14ac:dyDescent="0.3">
      <c r="A83" t="s">
        <v>242</v>
      </c>
      <c r="B83" s="2">
        <v>45843</v>
      </c>
      <c r="C83" t="s">
        <v>243</v>
      </c>
      <c r="D83" t="s">
        <v>52</v>
      </c>
      <c r="E83" t="s">
        <v>35</v>
      </c>
      <c r="F83">
        <v>47</v>
      </c>
      <c r="G83" t="s">
        <v>44</v>
      </c>
      <c r="H83" t="s">
        <v>45</v>
      </c>
      <c r="I83" t="s">
        <v>46</v>
      </c>
      <c r="J83" t="s">
        <v>47</v>
      </c>
      <c r="K83" t="s">
        <v>46</v>
      </c>
      <c r="L83" t="s">
        <v>168</v>
      </c>
      <c r="M83">
        <v>2</v>
      </c>
      <c r="N83">
        <v>14237</v>
      </c>
      <c r="O83">
        <v>5</v>
      </c>
      <c r="P83">
        <v>1423.7</v>
      </c>
      <c r="Q83">
        <v>27050.3</v>
      </c>
      <c r="R83">
        <v>19998.25</v>
      </c>
      <c r="S83">
        <v>7052.05</v>
      </c>
      <c r="T83" t="s">
        <v>40</v>
      </c>
      <c r="U83" t="s">
        <v>90</v>
      </c>
    </row>
    <row r="84" spans="1:21" x14ac:dyDescent="0.3">
      <c r="A84" t="s">
        <v>244</v>
      </c>
      <c r="B84" s="2">
        <v>45844</v>
      </c>
      <c r="C84" t="s">
        <v>245</v>
      </c>
      <c r="D84" t="s">
        <v>121</v>
      </c>
      <c r="E84" t="s">
        <v>24</v>
      </c>
      <c r="F84">
        <v>18</v>
      </c>
      <c r="G84" t="s">
        <v>44</v>
      </c>
      <c r="H84" t="s">
        <v>45</v>
      </c>
      <c r="I84" t="s">
        <v>46</v>
      </c>
      <c r="J84" t="s">
        <v>47</v>
      </c>
      <c r="K84" t="s">
        <v>46</v>
      </c>
      <c r="L84" t="s">
        <v>168</v>
      </c>
      <c r="M84">
        <v>5</v>
      </c>
      <c r="N84">
        <v>36936</v>
      </c>
      <c r="O84">
        <v>0</v>
      </c>
      <c r="P84">
        <v>0</v>
      </c>
      <c r="Q84">
        <v>184680</v>
      </c>
      <c r="R84">
        <v>137429.31</v>
      </c>
      <c r="S84">
        <v>47250.69</v>
      </c>
      <c r="T84" t="s">
        <v>40</v>
      </c>
      <c r="U84" t="s">
        <v>31</v>
      </c>
    </row>
    <row r="85" spans="1:21" x14ac:dyDescent="0.3">
      <c r="A85" t="s">
        <v>246</v>
      </c>
      <c r="B85" s="2">
        <v>45845</v>
      </c>
      <c r="C85" t="s">
        <v>247</v>
      </c>
      <c r="D85" t="s">
        <v>133</v>
      </c>
      <c r="E85" t="s">
        <v>24</v>
      </c>
      <c r="F85">
        <v>37</v>
      </c>
      <c r="G85" t="s">
        <v>72</v>
      </c>
      <c r="H85" t="s">
        <v>73</v>
      </c>
      <c r="I85" t="s">
        <v>94</v>
      </c>
      <c r="J85" t="s">
        <v>39</v>
      </c>
      <c r="K85" t="s">
        <v>94</v>
      </c>
      <c r="L85" t="s">
        <v>89</v>
      </c>
      <c r="M85">
        <v>5</v>
      </c>
      <c r="N85">
        <v>50309</v>
      </c>
      <c r="O85">
        <v>10</v>
      </c>
      <c r="P85">
        <v>25154.5</v>
      </c>
      <c r="Q85">
        <v>226390.5</v>
      </c>
      <c r="R85">
        <v>180892.33</v>
      </c>
      <c r="S85">
        <v>45498.17</v>
      </c>
      <c r="T85" t="s">
        <v>55</v>
      </c>
      <c r="U85" t="s">
        <v>31</v>
      </c>
    </row>
    <row r="86" spans="1:21" x14ac:dyDescent="0.3">
      <c r="A86" t="s">
        <v>248</v>
      </c>
      <c r="B86" s="2">
        <v>45846</v>
      </c>
      <c r="C86" t="s">
        <v>249</v>
      </c>
      <c r="D86" t="s">
        <v>167</v>
      </c>
      <c r="E86" t="s">
        <v>35</v>
      </c>
      <c r="F86">
        <v>20</v>
      </c>
      <c r="G86" t="s">
        <v>25</v>
      </c>
      <c r="H86" t="s">
        <v>26</v>
      </c>
      <c r="I86" t="s">
        <v>27</v>
      </c>
      <c r="J86" t="s">
        <v>28</v>
      </c>
      <c r="K86" t="s">
        <v>27</v>
      </c>
      <c r="L86" t="s">
        <v>105</v>
      </c>
      <c r="M86">
        <v>5</v>
      </c>
      <c r="N86">
        <v>48836</v>
      </c>
      <c r="O86">
        <v>10</v>
      </c>
      <c r="P86">
        <v>24418</v>
      </c>
      <c r="Q86">
        <v>219762</v>
      </c>
      <c r="R86">
        <v>184550.94</v>
      </c>
      <c r="S86">
        <v>35211.06</v>
      </c>
      <c r="T86" t="s">
        <v>64</v>
      </c>
      <c r="U86" t="s">
        <v>68</v>
      </c>
    </row>
    <row r="87" spans="1:21" x14ac:dyDescent="0.3">
      <c r="A87" t="s">
        <v>250</v>
      </c>
      <c r="B87" s="2">
        <v>45847</v>
      </c>
      <c r="C87" t="s">
        <v>251</v>
      </c>
      <c r="D87" t="s">
        <v>121</v>
      </c>
      <c r="E87" t="s">
        <v>24</v>
      </c>
      <c r="F87">
        <v>45</v>
      </c>
      <c r="G87" t="s">
        <v>72</v>
      </c>
      <c r="H87" t="s">
        <v>73</v>
      </c>
      <c r="I87" t="s">
        <v>80</v>
      </c>
      <c r="J87" t="s">
        <v>47</v>
      </c>
      <c r="K87" t="s">
        <v>80</v>
      </c>
      <c r="L87" t="s">
        <v>48</v>
      </c>
      <c r="M87">
        <v>4</v>
      </c>
      <c r="N87">
        <v>29687</v>
      </c>
      <c r="O87">
        <v>15</v>
      </c>
      <c r="P87">
        <v>17812.2</v>
      </c>
      <c r="Q87">
        <v>100935.8</v>
      </c>
      <c r="R87">
        <v>80569.36</v>
      </c>
      <c r="S87">
        <v>20366.439999999999</v>
      </c>
      <c r="T87" t="s">
        <v>30</v>
      </c>
      <c r="U87" t="s">
        <v>68</v>
      </c>
    </row>
    <row r="88" spans="1:21" x14ac:dyDescent="0.3">
      <c r="A88" t="s">
        <v>252</v>
      </c>
      <c r="B88" s="2">
        <v>45848</v>
      </c>
      <c r="C88" t="s">
        <v>253</v>
      </c>
      <c r="D88" t="s">
        <v>167</v>
      </c>
      <c r="E88" t="s">
        <v>24</v>
      </c>
      <c r="F88">
        <v>39</v>
      </c>
      <c r="G88" t="s">
        <v>110</v>
      </c>
      <c r="H88" t="s">
        <v>111</v>
      </c>
      <c r="I88" t="s">
        <v>94</v>
      </c>
      <c r="J88" t="s">
        <v>39</v>
      </c>
      <c r="K88" t="s">
        <v>94</v>
      </c>
      <c r="L88" t="s">
        <v>151</v>
      </c>
      <c r="M88">
        <v>5</v>
      </c>
      <c r="N88">
        <v>10408</v>
      </c>
      <c r="O88">
        <v>10</v>
      </c>
      <c r="P88">
        <v>5204</v>
      </c>
      <c r="Q88">
        <v>46836</v>
      </c>
      <c r="R88">
        <v>36344.79</v>
      </c>
      <c r="S88">
        <v>10491.21</v>
      </c>
      <c r="T88" t="s">
        <v>30</v>
      </c>
      <c r="U88" t="s">
        <v>31</v>
      </c>
    </row>
    <row r="89" spans="1:21" x14ac:dyDescent="0.3">
      <c r="A89" t="s">
        <v>254</v>
      </c>
      <c r="B89" s="2">
        <v>45849</v>
      </c>
      <c r="C89" t="s">
        <v>231</v>
      </c>
      <c r="D89" t="s">
        <v>167</v>
      </c>
      <c r="E89" t="s">
        <v>24</v>
      </c>
      <c r="F89">
        <v>44</v>
      </c>
      <c r="G89" t="s">
        <v>110</v>
      </c>
      <c r="H89" t="s">
        <v>111</v>
      </c>
      <c r="I89" t="s">
        <v>46</v>
      </c>
      <c r="J89" t="s">
        <v>47</v>
      </c>
      <c r="K89" t="s">
        <v>46</v>
      </c>
      <c r="L89" t="s">
        <v>168</v>
      </c>
      <c r="M89">
        <v>4</v>
      </c>
      <c r="N89">
        <v>45615</v>
      </c>
      <c r="O89">
        <v>5</v>
      </c>
      <c r="P89">
        <v>9123</v>
      </c>
      <c r="Q89">
        <v>173337</v>
      </c>
      <c r="R89">
        <v>113456.54</v>
      </c>
      <c r="S89">
        <v>59880.46</v>
      </c>
      <c r="T89" t="s">
        <v>40</v>
      </c>
      <c r="U89" t="s">
        <v>49</v>
      </c>
    </row>
    <row r="90" spans="1:21" x14ac:dyDescent="0.3">
      <c r="A90" t="s">
        <v>255</v>
      </c>
      <c r="B90" s="2">
        <v>45850</v>
      </c>
      <c r="C90" t="s">
        <v>256</v>
      </c>
      <c r="D90" t="s">
        <v>167</v>
      </c>
      <c r="E90" t="s">
        <v>24</v>
      </c>
      <c r="F90">
        <v>29</v>
      </c>
      <c r="G90" t="s">
        <v>87</v>
      </c>
      <c r="H90" t="s">
        <v>88</v>
      </c>
      <c r="I90" t="s">
        <v>46</v>
      </c>
      <c r="J90" t="s">
        <v>47</v>
      </c>
      <c r="K90" t="s">
        <v>46</v>
      </c>
      <c r="L90" t="s">
        <v>105</v>
      </c>
      <c r="M90">
        <v>2</v>
      </c>
      <c r="N90">
        <v>1909</v>
      </c>
      <c r="O90">
        <v>15</v>
      </c>
      <c r="P90">
        <v>572.70000000000005</v>
      </c>
      <c r="Q90">
        <v>3245.3</v>
      </c>
      <c r="R90">
        <v>2096.52</v>
      </c>
      <c r="S90">
        <v>1148.78</v>
      </c>
      <c r="T90" t="s">
        <v>95</v>
      </c>
      <c r="U90" t="s">
        <v>31</v>
      </c>
    </row>
    <row r="91" spans="1:21" x14ac:dyDescent="0.3">
      <c r="A91" t="s">
        <v>257</v>
      </c>
      <c r="B91" s="2">
        <v>45851</v>
      </c>
      <c r="C91" t="s">
        <v>258</v>
      </c>
      <c r="D91" t="s">
        <v>52</v>
      </c>
      <c r="E91" t="s">
        <v>35</v>
      </c>
      <c r="F91">
        <v>51</v>
      </c>
      <c r="G91" t="s">
        <v>72</v>
      </c>
      <c r="H91" t="s">
        <v>73</v>
      </c>
      <c r="I91" t="s">
        <v>67</v>
      </c>
      <c r="J91" t="s">
        <v>47</v>
      </c>
      <c r="K91" t="s">
        <v>67</v>
      </c>
      <c r="L91" t="s">
        <v>54</v>
      </c>
      <c r="M91">
        <v>2</v>
      </c>
      <c r="N91">
        <v>56370</v>
      </c>
      <c r="O91">
        <v>20</v>
      </c>
      <c r="P91">
        <v>22548</v>
      </c>
      <c r="Q91">
        <v>90192</v>
      </c>
      <c r="R91">
        <v>63757.64</v>
      </c>
      <c r="S91">
        <v>26434.36</v>
      </c>
      <c r="T91" t="s">
        <v>64</v>
      </c>
      <c r="U91" t="s">
        <v>31</v>
      </c>
    </row>
    <row r="92" spans="1:21" x14ac:dyDescent="0.3">
      <c r="A92" t="s">
        <v>259</v>
      </c>
      <c r="B92" s="2">
        <v>45852</v>
      </c>
      <c r="C92" t="s">
        <v>260</v>
      </c>
      <c r="D92" t="s">
        <v>43</v>
      </c>
      <c r="E92" t="s">
        <v>35</v>
      </c>
      <c r="F92">
        <v>50</v>
      </c>
      <c r="G92" t="s">
        <v>72</v>
      </c>
      <c r="H92" t="s">
        <v>73</v>
      </c>
      <c r="I92" t="s">
        <v>80</v>
      </c>
      <c r="J92" t="s">
        <v>47</v>
      </c>
      <c r="K92" t="s">
        <v>80</v>
      </c>
      <c r="L92" t="s">
        <v>48</v>
      </c>
      <c r="M92">
        <v>5</v>
      </c>
      <c r="N92">
        <v>32758</v>
      </c>
      <c r="O92">
        <v>20</v>
      </c>
      <c r="P92">
        <v>32758</v>
      </c>
      <c r="Q92">
        <v>131032</v>
      </c>
      <c r="R92">
        <v>74831.31</v>
      </c>
      <c r="S92">
        <v>56200.69</v>
      </c>
      <c r="T92" t="s">
        <v>30</v>
      </c>
      <c r="U92" t="s">
        <v>68</v>
      </c>
    </row>
    <row r="93" spans="1:21" x14ac:dyDescent="0.3">
      <c r="A93" t="s">
        <v>261</v>
      </c>
      <c r="B93" s="2">
        <v>45853</v>
      </c>
      <c r="C93" t="s">
        <v>262</v>
      </c>
      <c r="D93" t="s">
        <v>128</v>
      </c>
      <c r="E93" t="s">
        <v>24</v>
      </c>
      <c r="F93">
        <v>25</v>
      </c>
      <c r="G93" t="s">
        <v>59</v>
      </c>
      <c r="H93" t="s">
        <v>60</v>
      </c>
      <c r="I93" t="s">
        <v>94</v>
      </c>
      <c r="J93" t="s">
        <v>39</v>
      </c>
      <c r="K93" t="s">
        <v>94</v>
      </c>
      <c r="L93" t="s">
        <v>54</v>
      </c>
      <c r="M93">
        <v>1</v>
      </c>
      <c r="N93">
        <v>56059</v>
      </c>
      <c r="O93">
        <v>5</v>
      </c>
      <c r="P93">
        <v>2802.95</v>
      </c>
      <c r="Q93">
        <v>53256.05</v>
      </c>
      <c r="R93">
        <v>44110.13</v>
      </c>
      <c r="S93">
        <v>9145.92</v>
      </c>
      <c r="T93" t="s">
        <v>95</v>
      </c>
      <c r="U93" t="s">
        <v>31</v>
      </c>
    </row>
    <row r="94" spans="1:21" x14ac:dyDescent="0.3">
      <c r="A94" t="s">
        <v>263</v>
      </c>
      <c r="B94" s="2">
        <v>45854</v>
      </c>
      <c r="C94" t="s">
        <v>264</v>
      </c>
      <c r="D94" t="s">
        <v>76</v>
      </c>
      <c r="E94" t="s">
        <v>24</v>
      </c>
      <c r="F94">
        <v>52</v>
      </c>
      <c r="G94" t="s">
        <v>110</v>
      </c>
      <c r="H94" t="s">
        <v>111</v>
      </c>
      <c r="I94" t="s">
        <v>38</v>
      </c>
      <c r="J94" t="s">
        <v>39</v>
      </c>
      <c r="K94" t="s">
        <v>38</v>
      </c>
      <c r="L94" t="s">
        <v>151</v>
      </c>
      <c r="M94">
        <v>4</v>
      </c>
      <c r="N94">
        <v>36816</v>
      </c>
      <c r="O94">
        <v>0</v>
      </c>
      <c r="P94">
        <v>0</v>
      </c>
      <c r="Q94">
        <v>147264</v>
      </c>
      <c r="R94">
        <v>123718.11</v>
      </c>
      <c r="S94">
        <v>23545.89</v>
      </c>
      <c r="T94" t="s">
        <v>64</v>
      </c>
      <c r="U94" t="s">
        <v>90</v>
      </c>
    </row>
    <row r="95" spans="1:21" x14ac:dyDescent="0.3">
      <c r="A95" t="s">
        <v>265</v>
      </c>
      <c r="B95" s="2">
        <v>45855</v>
      </c>
      <c r="C95" t="s">
        <v>266</v>
      </c>
      <c r="D95" t="s">
        <v>116</v>
      </c>
      <c r="E95" t="s">
        <v>24</v>
      </c>
      <c r="F95">
        <v>46</v>
      </c>
      <c r="G95" t="s">
        <v>146</v>
      </c>
      <c r="H95" t="s">
        <v>60</v>
      </c>
      <c r="I95" t="s">
        <v>46</v>
      </c>
      <c r="J95" t="s">
        <v>47</v>
      </c>
      <c r="K95" t="s">
        <v>46</v>
      </c>
      <c r="L95" t="s">
        <v>54</v>
      </c>
      <c r="M95">
        <v>5</v>
      </c>
      <c r="N95">
        <v>10254</v>
      </c>
      <c r="O95">
        <v>5</v>
      </c>
      <c r="P95">
        <v>2563.5</v>
      </c>
      <c r="Q95">
        <v>48706.5</v>
      </c>
      <c r="R95">
        <v>30208.86</v>
      </c>
      <c r="S95">
        <v>18497.64</v>
      </c>
      <c r="T95" t="s">
        <v>55</v>
      </c>
      <c r="U95" t="s">
        <v>31</v>
      </c>
    </row>
    <row r="96" spans="1:21" x14ac:dyDescent="0.3">
      <c r="A96" t="s">
        <v>267</v>
      </c>
      <c r="B96" s="2">
        <v>45856</v>
      </c>
      <c r="C96" t="s">
        <v>268</v>
      </c>
      <c r="D96" t="s">
        <v>23</v>
      </c>
      <c r="E96" t="s">
        <v>24</v>
      </c>
      <c r="F96">
        <v>52</v>
      </c>
      <c r="G96" t="s">
        <v>44</v>
      </c>
      <c r="H96" t="s">
        <v>45</v>
      </c>
      <c r="I96" t="s">
        <v>53</v>
      </c>
      <c r="J96" t="s">
        <v>47</v>
      </c>
      <c r="K96" t="s">
        <v>53</v>
      </c>
      <c r="L96" t="s">
        <v>48</v>
      </c>
      <c r="M96">
        <v>5</v>
      </c>
      <c r="N96">
        <v>41845</v>
      </c>
      <c r="O96">
        <v>10</v>
      </c>
      <c r="P96">
        <v>20922.5</v>
      </c>
      <c r="Q96">
        <v>188302.5</v>
      </c>
      <c r="R96">
        <v>113980.78</v>
      </c>
      <c r="S96">
        <v>74321.72</v>
      </c>
      <c r="T96" t="s">
        <v>55</v>
      </c>
      <c r="U96" t="s">
        <v>90</v>
      </c>
    </row>
    <row r="97" spans="1:21" x14ac:dyDescent="0.3">
      <c r="A97" t="s">
        <v>269</v>
      </c>
      <c r="B97" s="2">
        <v>45857</v>
      </c>
      <c r="C97" t="s">
        <v>270</v>
      </c>
      <c r="D97" t="s">
        <v>167</v>
      </c>
      <c r="E97" t="s">
        <v>24</v>
      </c>
      <c r="F97">
        <v>25</v>
      </c>
      <c r="G97" t="s">
        <v>59</v>
      </c>
      <c r="H97" t="s">
        <v>60</v>
      </c>
      <c r="I97" t="s">
        <v>80</v>
      </c>
      <c r="J97" t="s">
        <v>47</v>
      </c>
      <c r="K97" t="s">
        <v>80</v>
      </c>
      <c r="L97" t="s">
        <v>151</v>
      </c>
      <c r="M97">
        <v>4</v>
      </c>
      <c r="N97">
        <v>3946</v>
      </c>
      <c r="O97">
        <v>5</v>
      </c>
      <c r="P97">
        <v>789.2</v>
      </c>
      <c r="Q97">
        <v>14994.8</v>
      </c>
      <c r="R97">
        <v>9290.49</v>
      </c>
      <c r="S97">
        <v>5704.31</v>
      </c>
      <c r="T97" t="s">
        <v>40</v>
      </c>
      <c r="U97" t="s">
        <v>68</v>
      </c>
    </row>
    <row r="98" spans="1:21" x14ac:dyDescent="0.3">
      <c r="A98" t="s">
        <v>271</v>
      </c>
      <c r="B98" s="2">
        <v>45858</v>
      </c>
      <c r="C98" t="s">
        <v>272</v>
      </c>
      <c r="D98" t="s">
        <v>23</v>
      </c>
      <c r="E98" t="s">
        <v>24</v>
      </c>
      <c r="F98">
        <v>43</v>
      </c>
      <c r="G98" t="s">
        <v>59</v>
      </c>
      <c r="H98" t="s">
        <v>60</v>
      </c>
      <c r="I98" t="s">
        <v>94</v>
      </c>
      <c r="J98" t="s">
        <v>39</v>
      </c>
      <c r="K98" t="s">
        <v>94</v>
      </c>
      <c r="L98" t="s">
        <v>81</v>
      </c>
      <c r="M98">
        <v>3</v>
      </c>
      <c r="N98">
        <v>47558</v>
      </c>
      <c r="O98">
        <v>10</v>
      </c>
      <c r="P98">
        <v>14267.4</v>
      </c>
      <c r="Q98">
        <v>128406.6</v>
      </c>
      <c r="R98">
        <v>76353.91</v>
      </c>
      <c r="S98">
        <v>52052.69</v>
      </c>
      <c r="T98" t="s">
        <v>95</v>
      </c>
      <c r="U98" t="s">
        <v>90</v>
      </c>
    </row>
    <row r="99" spans="1:21" x14ac:dyDescent="0.3">
      <c r="A99" t="s">
        <v>273</v>
      </c>
      <c r="B99" s="2">
        <v>45859</v>
      </c>
      <c r="C99" t="s">
        <v>274</v>
      </c>
      <c r="D99" t="s">
        <v>58</v>
      </c>
      <c r="E99" t="s">
        <v>35</v>
      </c>
      <c r="F99">
        <v>30</v>
      </c>
      <c r="G99" t="s">
        <v>25</v>
      </c>
      <c r="H99" t="s">
        <v>26</v>
      </c>
      <c r="I99" t="s">
        <v>46</v>
      </c>
      <c r="J99" t="s">
        <v>47</v>
      </c>
      <c r="K99" t="s">
        <v>46</v>
      </c>
      <c r="L99" t="s">
        <v>48</v>
      </c>
      <c r="M99">
        <v>5</v>
      </c>
      <c r="N99">
        <v>11389</v>
      </c>
      <c r="O99">
        <v>5</v>
      </c>
      <c r="P99">
        <v>2847.25</v>
      </c>
      <c r="Q99">
        <v>54097.75</v>
      </c>
      <c r="R99">
        <v>37172.17</v>
      </c>
      <c r="S99">
        <v>16925.580000000002</v>
      </c>
      <c r="T99" t="s">
        <v>40</v>
      </c>
      <c r="U99" t="s">
        <v>90</v>
      </c>
    </row>
    <row r="100" spans="1:21" x14ac:dyDescent="0.3">
      <c r="A100" t="s">
        <v>275</v>
      </c>
      <c r="B100" s="2">
        <v>45860</v>
      </c>
      <c r="C100" t="s">
        <v>276</v>
      </c>
      <c r="D100" t="s">
        <v>76</v>
      </c>
      <c r="E100" t="s">
        <v>35</v>
      </c>
      <c r="F100">
        <v>60</v>
      </c>
      <c r="G100" t="s">
        <v>98</v>
      </c>
      <c r="H100" t="s">
        <v>98</v>
      </c>
      <c r="I100" t="s">
        <v>27</v>
      </c>
      <c r="J100" t="s">
        <v>28</v>
      </c>
      <c r="K100" t="s">
        <v>27</v>
      </c>
      <c r="L100" t="s">
        <v>151</v>
      </c>
      <c r="M100">
        <v>5</v>
      </c>
      <c r="N100">
        <v>45275</v>
      </c>
      <c r="O100">
        <v>5</v>
      </c>
      <c r="P100">
        <v>11318.75</v>
      </c>
      <c r="Q100">
        <v>215056.25</v>
      </c>
      <c r="R100">
        <v>169354.12</v>
      </c>
      <c r="S100">
        <v>45702.13</v>
      </c>
      <c r="T100" t="s">
        <v>95</v>
      </c>
      <c r="U100" t="s">
        <v>31</v>
      </c>
    </row>
    <row r="101" spans="1:21" x14ac:dyDescent="0.3">
      <c r="A101" t="s">
        <v>277</v>
      </c>
      <c r="B101" s="2">
        <v>45861</v>
      </c>
      <c r="C101" t="s">
        <v>278</v>
      </c>
      <c r="D101" t="s">
        <v>43</v>
      </c>
      <c r="E101" t="s">
        <v>24</v>
      </c>
      <c r="F101">
        <v>34</v>
      </c>
      <c r="G101" t="s">
        <v>25</v>
      </c>
      <c r="H101" t="s">
        <v>26</v>
      </c>
      <c r="I101" t="s">
        <v>63</v>
      </c>
      <c r="J101" t="s">
        <v>47</v>
      </c>
      <c r="K101" t="s">
        <v>63</v>
      </c>
      <c r="L101" t="s">
        <v>29</v>
      </c>
      <c r="M101">
        <v>4</v>
      </c>
      <c r="N101">
        <v>35143</v>
      </c>
      <c r="O101">
        <v>0</v>
      </c>
      <c r="P101">
        <v>0</v>
      </c>
      <c r="Q101">
        <v>140572</v>
      </c>
      <c r="R101">
        <v>87633.54</v>
      </c>
      <c r="S101">
        <v>52938.46</v>
      </c>
      <c r="T101" t="s">
        <v>95</v>
      </c>
      <c r="U101" t="s">
        <v>31</v>
      </c>
    </row>
    <row r="102" spans="1:21" x14ac:dyDescent="0.3">
      <c r="A102" t="s">
        <v>279</v>
      </c>
      <c r="B102" s="2">
        <v>45862</v>
      </c>
      <c r="C102" t="s">
        <v>280</v>
      </c>
      <c r="D102" t="s">
        <v>58</v>
      </c>
      <c r="E102" t="s">
        <v>24</v>
      </c>
      <c r="F102">
        <v>46</v>
      </c>
      <c r="G102" t="s">
        <v>87</v>
      </c>
      <c r="H102" t="s">
        <v>88</v>
      </c>
      <c r="I102" t="s">
        <v>63</v>
      </c>
      <c r="J102" t="s">
        <v>47</v>
      </c>
      <c r="K102" t="s">
        <v>63</v>
      </c>
      <c r="L102" t="s">
        <v>81</v>
      </c>
      <c r="M102">
        <v>4</v>
      </c>
      <c r="N102">
        <v>17224</v>
      </c>
      <c r="O102">
        <v>10</v>
      </c>
      <c r="P102">
        <v>6889.6</v>
      </c>
      <c r="Q102">
        <v>62006.400000000001</v>
      </c>
      <c r="R102">
        <v>42127.61</v>
      </c>
      <c r="S102">
        <v>19878.79</v>
      </c>
      <c r="T102" t="s">
        <v>30</v>
      </c>
      <c r="U102" t="s">
        <v>31</v>
      </c>
    </row>
    <row r="103" spans="1:21" x14ac:dyDescent="0.3">
      <c r="A103" t="s">
        <v>281</v>
      </c>
      <c r="B103" s="2">
        <v>45863</v>
      </c>
      <c r="C103" t="s">
        <v>282</v>
      </c>
      <c r="D103" t="s">
        <v>93</v>
      </c>
      <c r="E103" t="s">
        <v>35</v>
      </c>
      <c r="F103">
        <v>33</v>
      </c>
      <c r="G103" t="s">
        <v>110</v>
      </c>
      <c r="H103" t="s">
        <v>111</v>
      </c>
      <c r="I103" t="s">
        <v>94</v>
      </c>
      <c r="J103" t="s">
        <v>39</v>
      </c>
      <c r="K103" t="s">
        <v>94</v>
      </c>
      <c r="L103" t="s">
        <v>168</v>
      </c>
      <c r="M103">
        <v>4</v>
      </c>
      <c r="N103">
        <v>32260</v>
      </c>
      <c r="O103">
        <v>20</v>
      </c>
      <c r="P103">
        <v>25808</v>
      </c>
      <c r="Q103">
        <v>103232</v>
      </c>
      <c r="R103">
        <v>65080.25</v>
      </c>
      <c r="S103">
        <v>38151.75</v>
      </c>
      <c r="T103" t="s">
        <v>40</v>
      </c>
      <c r="U103" t="s">
        <v>31</v>
      </c>
    </row>
    <row r="104" spans="1:21" x14ac:dyDescent="0.3">
      <c r="A104" t="s">
        <v>283</v>
      </c>
      <c r="B104" s="2">
        <v>45864</v>
      </c>
      <c r="C104" t="s">
        <v>284</v>
      </c>
      <c r="D104" t="s">
        <v>76</v>
      </c>
      <c r="E104" t="s">
        <v>35</v>
      </c>
      <c r="F104">
        <v>50</v>
      </c>
      <c r="G104" t="s">
        <v>59</v>
      </c>
      <c r="H104" t="s">
        <v>60</v>
      </c>
      <c r="I104" t="s">
        <v>67</v>
      </c>
      <c r="J104" t="s">
        <v>47</v>
      </c>
      <c r="K104" t="s">
        <v>67</v>
      </c>
      <c r="L104" t="s">
        <v>81</v>
      </c>
      <c r="M104">
        <v>2</v>
      </c>
      <c r="N104">
        <v>37262</v>
      </c>
      <c r="O104">
        <v>10</v>
      </c>
      <c r="P104">
        <v>7452.4</v>
      </c>
      <c r="Q104">
        <v>67071.600000000006</v>
      </c>
      <c r="R104">
        <v>37535.06</v>
      </c>
      <c r="S104">
        <v>29536.54</v>
      </c>
      <c r="T104" t="s">
        <v>55</v>
      </c>
      <c r="U104" t="s">
        <v>90</v>
      </c>
    </row>
    <row r="105" spans="1:21" x14ac:dyDescent="0.3">
      <c r="A105" t="s">
        <v>285</v>
      </c>
      <c r="B105" s="2">
        <v>45865</v>
      </c>
      <c r="C105" t="s">
        <v>286</v>
      </c>
      <c r="D105" t="s">
        <v>52</v>
      </c>
      <c r="E105" t="s">
        <v>24</v>
      </c>
      <c r="F105">
        <v>22</v>
      </c>
      <c r="G105" t="s">
        <v>110</v>
      </c>
      <c r="H105" t="s">
        <v>111</v>
      </c>
      <c r="I105" t="s">
        <v>38</v>
      </c>
      <c r="J105" t="s">
        <v>39</v>
      </c>
      <c r="K105" t="s">
        <v>38</v>
      </c>
      <c r="L105" t="s">
        <v>54</v>
      </c>
      <c r="M105">
        <v>2</v>
      </c>
      <c r="N105">
        <v>41848</v>
      </c>
      <c r="O105">
        <v>15</v>
      </c>
      <c r="P105">
        <v>12554.4</v>
      </c>
      <c r="Q105">
        <v>71141.600000000006</v>
      </c>
      <c r="R105">
        <v>42978.79</v>
      </c>
      <c r="S105">
        <v>28162.81</v>
      </c>
      <c r="T105" t="s">
        <v>64</v>
      </c>
      <c r="U105" t="s">
        <v>49</v>
      </c>
    </row>
    <row r="106" spans="1:21" x14ac:dyDescent="0.3">
      <c r="A106" t="s">
        <v>287</v>
      </c>
      <c r="B106" s="2">
        <v>45866</v>
      </c>
      <c r="C106" t="s">
        <v>288</v>
      </c>
      <c r="D106" t="s">
        <v>71</v>
      </c>
      <c r="E106" t="s">
        <v>35</v>
      </c>
      <c r="F106">
        <v>59</v>
      </c>
      <c r="G106" t="s">
        <v>101</v>
      </c>
      <c r="H106" t="s">
        <v>102</v>
      </c>
      <c r="I106" t="s">
        <v>46</v>
      </c>
      <c r="J106" t="s">
        <v>47</v>
      </c>
      <c r="K106" t="s">
        <v>46</v>
      </c>
      <c r="L106" t="s">
        <v>54</v>
      </c>
      <c r="M106">
        <v>2</v>
      </c>
      <c r="N106">
        <v>45646</v>
      </c>
      <c r="O106">
        <v>20</v>
      </c>
      <c r="P106">
        <v>18258.400000000001</v>
      </c>
      <c r="Q106">
        <v>73033.600000000006</v>
      </c>
      <c r="R106">
        <v>45218.879999999997</v>
      </c>
      <c r="S106">
        <v>27814.720000000001</v>
      </c>
      <c r="T106" t="s">
        <v>30</v>
      </c>
      <c r="U106" t="s">
        <v>49</v>
      </c>
    </row>
    <row r="107" spans="1:21" x14ac:dyDescent="0.3">
      <c r="A107" t="s">
        <v>289</v>
      </c>
      <c r="B107" s="2">
        <v>45867</v>
      </c>
      <c r="C107" t="s">
        <v>290</v>
      </c>
      <c r="D107" t="s">
        <v>167</v>
      </c>
      <c r="E107" t="s">
        <v>24</v>
      </c>
      <c r="F107">
        <v>25</v>
      </c>
      <c r="G107" t="s">
        <v>110</v>
      </c>
      <c r="H107" t="s">
        <v>111</v>
      </c>
      <c r="I107" t="s">
        <v>67</v>
      </c>
      <c r="J107" t="s">
        <v>47</v>
      </c>
      <c r="K107" t="s">
        <v>67</v>
      </c>
      <c r="L107" t="s">
        <v>151</v>
      </c>
      <c r="M107">
        <v>5</v>
      </c>
      <c r="N107">
        <v>18293</v>
      </c>
      <c r="O107">
        <v>5</v>
      </c>
      <c r="P107">
        <v>4573.25</v>
      </c>
      <c r="Q107">
        <v>86891.75</v>
      </c>
      <c r="R107">
        <v>63377.72</v>
      </c>
      <c r="S107">
        <v>23514.03</v>
      </c>
      <c r="T107" t="s">
        <v>55</v>
      </c>
      <c r="U107" t="s">
        <v>31</v>
      </c>
    </row>
    <row r="108" spans="1:21" x14ac:dyDescent="0.3">
      <c r="A108" t="s">
        <v>291</v>
      </c>
      <c r="B108" s="2">
        <v>45868</v>
      </c>
      <c r="C108" t="s">
        <v>292</v>
      </c>
      <c r="D108" t="s">
        <v>34</v>
      </c>
      <c r="E108" t="s">
        <v>35</v>
      </c>
      <c r="F108">
        <v>19</v>
      </c>
      <c r="G108" t="s">
        <v>101</v>
      </c>
      <c r="H108" t="s">
        <v>102</v>
      </c>
      <c r="I108" t="s">
        <v>94</v>
      </c>
      <c r="J108" t="s">
        <v>39</v>
      </c>
      <c r="K108" t="s">
        <v>94</v>
      </c>
      <c r="L108" t="s">
        <v>168</v>
      </c>
      <c r="M108">
        <v>3</v>
      </c>
      <c r="N108">
        <v>10928</v>
      </c>
      <c r="O108">
        <v>10</v>
      </c>
      <c r="P108">
        <v>3278.4</v>
      </c>
      <c r="Q108">
        <v>29505.599999999999</v>
      </c>
      <c r="R108">
        <v>24311.22</v>
      </c>
      <c r="S108">
        <v>5194.38</v>
      </c>
      <c r="T108" t="s">
        <v>55</v>
      </c>
      <c r="U108" t="s">
        <v>68</v>
      </c>
    </row>
    <row r="109" spans="1:21" x14ac:dyDescent="0.3">
      <c r="A109" t="s">
        <v>293</v>
      </c>
      <c r="B109" s="2">
        <v>45869</v>
      </c>
      <c r="C109" t="s">
        <v>294</v>
      </c>
      <c r="D109" t="s">
        <v>34</v>
      </c>
      <c r="E109" t="s">
        <v>35</v>
      </c>
      <c r="F109">
        <v>58</v>
      </c>
      <c r="G109" t="s">
        <v>101</v>
      </c>
      <c r="H109" t="s">
        <v>102</v>
      </c>
      <c r="I109" t="s">
        <v>38</v>
      </c>
      <c r="J109" t="s">
        <v>39</v>
      </c>
      <c r="K109" t="s">
        <v>38</v>
      </c>
      <c r="L109" t="s">
        <v>54</v>
      </c>
      <c r="M109">
        <v>5</v>
      </c>
      <c r="N109">
        <v>26984</v>
      </c>
      <c r="O109">
        <v>10</v>
      </c>
      <c r="P109">
        <v>13492</v>
      </c>
      <c r="Q109">
        <v>121428</v>
      </c>
      <c r="R109">
        <v>92317.35</v>
      </c>
      <c r="S109">
        <v>29110.65</v>
      </c>
      <c r="T109" t="s">
        <v>55</v>
      </c>
      <c r="U109" t="s">
        <v>31</v>
      </c>
    </row>
    <row r="110" spans="1:21" x14ac:dyDescent="0.3">
      <c r="A110" t="s">
        <v>295</v>
      </c>
      <c r="B110" s="2">
        <v>45870</v>
      </c>
      <c r="C110" t="s">
        <v>245</v>
      </c>
      <c r="D110" t="s">
        <v>76</v>
      </c>
      <c r="E110" t="s">
        <v>24</v>
      </c>
      <c r="F110">
        <v>24</v>
      </c>
      <c r="G110" t="s">
        <v>36</v>
      </c>
      <c r="H110" t="s">
        <v>37</v>
      </c>
      <c r="I110" t="s">
        <v>27</v>
      </c>
      <c r="J110" t="s">
        <v>28</v>
      </c>
      <c r="K110" t="s">
        <v>27</v>
      </c>
      <c r="L110" t="s">
        <v>105</v>
      </c>
      <c r="M110">
        <v>1</v>
      </c>
      <c r="N110">
        <v>16482</v>
      </c>
      <c r="O110">
        <v>5</v>
      </c>
      <c r="P110">
        <v>824.1</v>
      </c>
      <c r="Q110">
        <v>15657.9</v>
      </c>
      <c r="R110">
        <v>9675.16</v>
      </c>
      <c r="S110">
        <v>5982.74</v>
      </c>
      <c r="T110" t="s">
        <v>30</v>
      </c>
      <c r="U110" t="s">
        <v>31</v>
      </c>
    </row>
    <row r="111" spans="1:21" x14ac:dyDescent="0.3">
      <c r="A111" t="s">
        <v>296</v>
      </c>
      <c r="B111" s="2">
        <v>45871</v>
      </c>
      <c r="C111" t="s">
        <v>297</v>
      </c>
      <c r="D111" t="s">
        <v>34</v>
      </c>
      <c r="E111" t="s">
        <v>24</v>
      </c>
      <c r="F111">
        <v>43</v>
      </c>
      <c r="G111" t="s">
        <v>72</v>
      </c>
      <c r="H111" t="s">
        <v>73</v>
      </c>
      <c r="I111" t="s">
        <v>94</v>
      </c>
      <c r="J111" t="s">
        <v>39</v>
      </c>
      <c r="K111" t="s">
        <v>94</v>
      </c>
      <c r="L111" t="s">
        <v>54</v>
      </c>
      <c r="M111">
        <v>4</v>
      </c>
      <c r="N111">
        <v>47838</v>
      </c>
      <c r="O111">
        <v>10</v>
      </c>
      <c r="P111">
        <v>19135.2</v>
      </c>
      <c r="Q111">
        <v>172216.8</v>
      </c>
      <c r="R111">
        <v>112950.71</v>
      </c>
      <c r="S111">
        <v>59266.09</v>
      </c>
      <c r="T111" t="s">
        <v>95</v>
      </c>
      <c r="U111" t="s">
        <v>49</v>
      </c>
    </row>
    <row r="112" spans="1:21" x14ac:dyDescent="0.3">
      <c r="A112" t="s">
        <v>298</v>
      </c>
      <c r="B112" s="2">
        <v>45872</v>
      </c>
      <c r="C112" t="s">
        <v>299</v>
      </c>
      <c r="D112" t="s">
        <v>133</v>
      </c>
      <c r="E112" t="s">
        <v>35</v>
      </c>
      <c r="F112">
        <v>34</v>
      </c>
      <c r="G112" t="s">
        <v>36</v>
      </c>
      <c r="H112" t="s">
        <v>37</v>
      </c>
      <c r="I112" t="s">
        <v>53</v>
      </c>
      <c r="J112" t="s">
        <v>47</v>
      </c>
      <c r="K112" t="s">
        <v>53</v>
      </c>
      <c r="L112" t="s">
        <v>54</v>
      </c>
      <c r="M112">
        <v>3</v>
      </c>
      <c r="N112">
        <v>30901</v>
      </c>
      <c r="O112">
        <v>0</v>
      </c>
      <c r="P112">
        <v>0</v>
      </c>
      <c r="Q112">
        <v>92703</v>
      </c>
      <c r="R112">
        <v>55281.53</v>
      </c>
      <c r="S112">
        <v>37421.47</v>
      </c>
      <c r="T112" t="s">
        <v>30</v>
      </c>
      <c r="U112" t="s">
        <v>31</v>
      </c>
    </row>
    <row r="113" spans="1:21" x14ac:dyDescent="0.3">
      <c r="A113" t="s">
        <v>300</v>
      </c>
      <c r="B113" s="2">
        <v>45873</v>
      </c>
      <c r="C113" t="s">
        <v>301</v>
      </c>
      <c r="D113" t="s">
        <v>23</v>
      </c>
      <c r="E113" t="s">
        <v>24</v>
      </c>
      <c r="F113">
        <v>30</v>
      </c>
      <c r="G113" t="s">
        <v>25</v>
      </c>
      <c r="H113" t="s">
        <v>26</v>
      </c>
      <c r="I113" t="s">
        <v>46</v>
      </c>
      <c r="J113" t="s">
        <v>47</v>
      </c>
      <c r="K113" t="s">
        <v>46</v>
      </c>
      <c r="L113" t="s">
        <v>54</v>
      </c>
      <c r="M113">
        <v>1</v>
      </c>
      <c r="N113">
        <v>22041</v>
      </c>
      <c r="O113">
        <v>15</v>
      </c>
      <c r="P113">
        <v>3306.15</v>
      </c>
      <c r="Q113">
        <v>18734.849999999999</v>
      </c>
      <c r="R113">
        <v>12123.52</v>
      </c>
      <c r="S113">
        <v>6611.33</v>
      </c>
      <c r="T113" t="s">
        <v>55</v>
      </c>
      <c r="U113" t="s">
        <v>68</v>
      </c>
    </row>
    <row r="114" spans="1:21" x14ac:dyDescent="0.3">
      <c r="A114" t="s">
        <v>302</v>
      </c>
      <c r="B114" s="2">
        <v>45874</v>
      </c>
      <c r="C114" t="s">
        <v>303</v>
      </c>
      <c r="D114" t="s">
        <v>58</v>
      </c>
      <c r="E114" t="s">
        <v>35</v>
      </c>
      <c r="F114">
        <v>46</v>
      </c>
      <c r="G114" t="s">
        <v>146</v>
      </c>
      <c r="H114" t="s">
        <v>60</v>
      </c>
      <c r="I114" t="s">
        <v>53</v>
      </c>
      <c r="J114" t="s">
        <v>47</v>
      </c>
      <c r="K114" t="s">
        <v>53</v>
      </c>
      <c r="L114" t="s">
        <v>29</v>
      </c>
      <c r="M114">
        <v>4</v>
      </c>
      <c r="N114">
        <v>53541</v>
      </c>
      <c r="O114">
        <v>20</v>
      </c>
      <c r="P114">
        <v>42832.800000000003</v>
      </c>
      <c r="Q114">
        <v>171331.20000000001</v>
      </c>
      <c r="R114">
        <v>145396.63</v>
      </c>
      <c r="S114">
        <v>25934.57</v>
      </c>
      <c r="T114" t="s">
        <v>55</v>
      </c>
      <c r="U114" t="s">
        <v>31</v>
      </c>
    </row>
    <row r="115" spans="1:21" x14ac:dyDescent="0.3">
      <c r="A115" t="s">
        <v>304</v>
      </c>
      <c r="B115" s="2">
        <v>45875</v>
      </c>
      <c r="C115" t="s">
        <v>305</v>
      </c>
      <c r="D115" t="s">
        <v>52</v>
      </c>
      <c r="E115" t="s">
        <v>24</v>
      </c>
      <c r="F115">
        <v>43</v>
      </c>
      <c r="G115" t="s">
        <v>101</v>
      </c>
      <c r="H115" t="s">
        <v>102</v>
      </c>
      <c r="I115" t="s">
        <v>27</v>
      </c>
      <c r="J115" t="s">
        <v>28</v>
      </c>
      <c r="K115" t="s">
        <v>27</v>
      </c>
      <c r="L115" t="s">
        <v>151</v>
      </c>
      <c r="M115">
        <v>5</v>
      </c>
      <c r="N115">
        <v>49721</v>
      </c>
      <c r="O115">
        <v>5</v>
      </c>
      <c r="P115">
        <v>12430.25</v>
      </c>
      <c r="Q115">
        <v>236174.75</v>
      </c>
      <c r="R115">
        <v>193184.98</v>
      </c>
      <c r="S115">
        <v>42989.77</v>
      </c>
      <c r="T115" t="s">
        <v>95</v>
      </c>
      <c r="U115" t="s">
        <v>31</v>
      </c>
    </row>
    <row r="116" spans="1:21" x14ac:dyDescent="0.3">
      <c r="A116" t="s">
        <v>306</v>
      </c>
      <c r="B116" s="2">
        <v>45876</v>
      </c>
      <c r="C116" t="s">
        <v>307</v>
      </c>
      <c r="D116" t="s">
        <v>76</v>
      </c>
      <c r="E116" t="s">
        <v>35</v>
      </c>
      <c r="F116">
        <v>37</v>
      </c>
      <c r="G116" t="s">
        <v>25</v>
      </c>
      <c r="H116" t="s">
        <v>26</v>
      </c>
      <c r="I116" t="s">
        <v>27</v>
      </c>
      <c r="J116" t="s">
        <v>28</v>
      </c>
      <c r="K116" t="s">
        <v>27</v>
      </c>
      <c r="L116" t="s">
        <v>29</v>
      </c>
      <c r="M116">
        <v>2</v>
      </c>
      <c r="N116">
        <v>49546</v>
      </c>
      <c r="O116">
        <v>0</v>
      </c>
      <c r="P116">
        <v>0</v>
      </c>
      <c r="Q116">
        <v>99092</v>
      </c>
      <c r="R116">
        <v>62235.55</v>
      </c>
      <c r="S116">
        <v>36856.449999999997</v>
      </c>
      <c r="T116" t="s">
        <v>40</v>
      </c>
      <c r="U116" t="s">
        <v>49</v>
      </c>
    </row>
    <row r="117" spans="1:21" x14ac:dyDescent="0.3">
      <c r="A117" t="s">
        <v>308</v>
      </c>
      <c r="B117" s="2">
        <v>45877</v>
      </c>
      <c r="C117" t="s">
        <v>309</v>
      </c>
      <c r="D117" t="s">
        <v>86</v>
      </c>
      <c r="E117" t="s">
        <v>35</v>
      </c>
      <c r="F117">
        <v>57</v>
      </c>
      <c r="G117" t="s">
        <v>110</v>
      </c>
      <c r="H117" t="s">
        <v>111</v>
      </c>
      <c r="I117" t="s">
        <v>46</v>
      </c>
      <c r="J117" t="s">
        <v>47</v>
      </c>
      <c r="K117" t="s">
        <v>46</v>
      </c>
      <c r="L117" t="s">
        <v>29</v>
      </c>
      <c r="M117">
        <v>5</v>
      </c>
      <c r="N117">
        <v>50293</v>
      </c>
      <c r="O117">
        <v>15</v>
      </c>
      <c r="P117">
        <v>37719.75</v>
      </c>
      <c r="Q117">
        <v>213745.25</v>
      </c>
      <c r="R117">
        <v>167100.92000000001</v>
      </c>
      <c r="S117">
        <v>46644.33</v>
      </c>
      <c r="T117" t="s">
        <v>55</v>
      </c>
      <c r="U117" t="s">
        <v>31</v>
      </c>
    </row>
    <row r="118" spans="1:21" x14ac:dyDescent="0.3">
      <c r="A118" t="s">
        <v>310</v>
      </c>
      <c r="B118" s="2">
        <v>45878</v>
      </c>
      <c r="C118" t="s">
        <v>311</v>
      </c>
      <c r="D118" t="s">
        <v>52</v>
      </c>
      <c r="E118" t="s">
        <v>24</v>
      </c>
      <c r="F118">
        <v>47</v>
      </c>
      <c r="G118" t="s">
        <v>59</v>
      </c>
      <c r="H118" t="s">
        <v>60</v>
      </c>
      <c r="I118" t="s">
        <v>94</v>
      </c>
      <c r="J118" t="s">
        <v>39</v>
      </c>
      <c r="K118" t="s">
        <v>94</v>
      </c>
      <c r="L118" t="s">
        <v>81</v>
      </c>
      <c r="M118">
        <v>1</v>
      </c>
      <c r="N118">
        <v>50811</v>
      </c>
      <c r="O118">
        <v>15</v>
      </c>
      <c r="P118">
        <v>7621.65</v>
      </c>
      <c r="Q118">
        <v>43189.35</v>
      </c>
      <c r="R118">
        <v>25976.959999999999</v>
      </c>
      <c r="S118">
        <v>17212.39</v>
      </c>
      <c r="T118" t="s">
        <v>30</v>
      </c>
      <c r="U118" t="s">
        <v>90</v>
      </c>
    </row>
    <row r="119" spans="1:21" x14ac:dyDescent="0.3">
      <c r="A119" t="s">
        <v>312</v>
      </c>
      <c r="B119" s="2">
        <v>45879</v>
      </c>
      <c r="C119" t="s">
        <v>313</v>
      </c>
      <c r="D119" t="s">
        <v>79</v>
      </c>
      <c r="E119" t="s">
        <v>24</v>
      </c>
      <c r="F119">
        <v>43</v>
      </c>
      <c r="G119" t="s">
        <v>101</v>
      </c>
      <c r="H119" t="s">
        <v>102</v>
      </c>
      <c r="I119" t="s">
        <v>53</v>
      </c>
      <c r="J119" t="s">
        <v>47</v>
      </c>
      <c r="K119" t="s">
        <v>53</v>
      </c>
      <c r="L119" t="s">
        <v>29</v>
      </c>
      <c r="M119">
        <v>2</v>
      </c>
      <c r="N119">
        <v>46652</v>
      </c>
      <c r="O119">
        <v>5</v>
      </c>
      <c r="P119">
        <v>4665.2</v>
      </c>
      <c r="Q119">
        <v>88638.8</v>
      </c>
      <c r="R119">
        <v>70042.009999999995</v>
      </c>
      <c r="S119">
        <v>18596.79</v>
      </c>
      <c r="T119" t="s">
        <v>64</v>
      </c>
      <c r="U119" t="s">
        <v>31</v>
      </c>
    </row>
    <row r="120" spans="1:21" x14ac:dyDescent="0.3">
      <c r="A120" t="s">
        <v>314</v>
      </c>
      <c r="B120" s="2">
        <v>45880</v>
      </c>
      <c r="C120" t="s">
        <v>315</v>
      </c>
      <c r="D120" t="s">
        <v>34</v>
      </c>
      <c r="E120" t="s">
        <v>24</v>
      </c>
      <c r="F120">
        <v>22</v>
      </c>
      <c r="G120" t="s">
        <v>101</v>
      </c>
      <c r="H120" t="s">
        <v>102</v>
      </c>
      <c r="I120" t="s">
        <v>53</v>
      </c>
      <c r="J120" t="s">
        <v>47</v>
      </c>
      <c r="K120" t="s">
        <v>53</v>
      </c>
      <c r="L120" t="s">
        <v>54</v>
      </c>
      <c r="M120">
        <v>2</v>
      </c>
      <c r="N120">
        <v>33103</v>
      </c>
      <c r="O120">
        <v>15</v>
      </c>
      <c r="P120">
        <v>9930.9</v>
      </c>
      <c r="Q120">
        <v>56275.1</v>
      </c>
      <c r="R120">
        <v>33672.879999999997</v>
      </c>
      <c r="S120">
        <v>22602.22</v>
      </c>
      <c r="T120" t="s">
        <v>55</v>
      </c>
      <c r="U120" t="s">
        <v>31</v>
      </c>
    </row>
    <row r="121" spans="1:21" x14ac:dyDescent="0.3">
      <c r="A121" t="s">
        <v>316</v>
      </c>
      <c r="B121" s="2">
        <v>45881</v>
      </c>
      <c r="C121" t="s">
        <v>317</v>
      </c>
      <c r="D121" t="s">
        <v>116</v>
      </c>
      <c r="E121" t="s">
        <v>24</v>
      </c>
      <c r="F121">
        <v>56</v>
      </c>
      <c r="G121" t="s">
        <v>72</v>
      </c>
      <c r="H121" t="s">
        <v>73</v>
      </c>
      <c r="I121" t="s">
        <v>46</v>
      </c>
      <c r="J121" t="s">
        <v>47</v>
      </c>
      <c r="K121" t="s">
        <v>46</v>
      </c>
      <c r="L121" t="s">
        <v>29</v>
      </c>
      <c r="M121">
        <v>3</v>
      </c>
      <c r="N121">
        <v>41996</v>
      </c>
      <c r="O121">
        <v>15</v>
      </c>
      <c r="P121">
        <v>18898.2</v>
      </c>
      <c r="Q121">
        <v>107089.8</v>
      </c>
      <c r="R121">
        <v>73473.91</v>
      </c>
      <c r="S121">
        <v>33615.89</v>
      </c>
      <c r="T121" t="s">
        <v>55</v>
      </c>
      <c r="U121" t="s">
        <v>49</v>
      </c>
    </row>
    <row r="122" spans="1:21" x14ac:dyDescent="0.3">
      <c r="A122" t="s">
        <v>318</v>
      </c>
      <c r="B122" s="2">
        <v>45882</v>
      </c>
      <c r="C122" t="s">
        <v>319</v>
      </c>
      <c r="D122" t="s">
        <v>76</v>
      </c>
      <c r="E122" t="s">
        <v>35</v>
      </c>
      <c r="F122">
        <v>55</v>
      </c>
      <c r="G122" t="s">
        <v>59</v>
      </c>
      <c r="H122" t="s">
        <v>60</v>
      </c>
      <c r="I122" t="s">
        <v>27</v>
      </c>
      <c r="J122" t="s">
        <v>28</v>
      </c>
      <c r="K122" t="s">
        <v>27</v>
      </c>
      <c r="L122" t="s">
        <v>81</v>
      </c>
      <c r="M122">
        <v>2</v>
      </c>
      <c r="N122">
        <v>49115</v>
      </c>
      <c r="O122">
        <v>0</v>
      </c>
      <c r="P122">
        <v>0</v>
      </c>
      <c r="Q122">
        <v>98230</v>
      </c>
      <c r="R122">
        <v>59400.04</v>
      </c>
      <c r="S122">
        <v>38829.96</v>
      </c>
      <c r="T122" t="s">
        <v>95</v>
      </c>
      <c r="U122" t="s">
        <v>90</v>
      </c>
    </row>
    <row r="123" spans="1:21" x14ac:dyDescent="0.3">
      <c r="A123" t="s">
        <v>320</v>
      </c>
      <c r="B123" s="2">
        <v>45883</v>
      </c>
      <c r="C123" t="s">
        <v>321</v>
      </c>
      <c r="D123" t="s">
        <v>23</v>
      </c>
      <c r="E123" t="s">
        <v>35</v>
      </c>
      <c r="F123">
        <v>60</v>
      </c>
      <c r="G123" t="s">
        <v>146</v>
      </c>
      <c r="H123" t="s">
        <v>60</v>
      </c>
      <c r="I123" t="s">
        <v>46</v>
      </c>
      <c r="J123" t="s">
        <v>47</v>
      </c>
      <c r="K123" t="s">
        <v>46</v>
      </c>
      <c r="L123" t="s">
        <v>168</v>
      </c>
      <c r="M123">
        <v>4</v>
      </c>
      <c r="N123">
        <v>59884</v>
      </c>
      <c r="O123">
        <v>15</v>
      </c>
      <c r="P123">
        <v>35930.400000000001</v>
      </c>
      <c r="Q123">
        <v>203605.6</v>
      </c>
      <c r="R123">
        <v>116087.18</v>
      </c>
      <c r="S123">
        <v>87518.42</v>
      </c>
      <c r="T123" t="s">
        <v>64</v>
      </c>
      <c r="U123" t="s">
        <v>31</v>
      </c>
    </row>
    <row r="124" spans="1:21" x14ac:dyDescent="0.3">
      <c r="A124" t="s">
        <v>322</v>
      </c>
      <c r="B124" s="2">
        <v>45884</v>
      </c>
      <c r="C124" t="s">
        <v>323</v>
      </c>
      <c r="D124" t="s">
        <v>133</v>
      </c>
      <c r="E124" t="s">
        <v>24</v>
      </c>
      <c r="F124">
        <v>21</v>
      </c>
      <c r="G124" t="s">
        <v>110</v>
      </c>
      <c r="H124" t="s">
        <v>111</v>
      </c>
      <c r="I124" t="s">
        <v>38</v>
      </c>
      <c r="J124" t="s">
        <v>39</v>
      </c>
      <c r="K124" t="s">
        <v>38</v>
      </c>
      <c r="L124" t="s">
        <v>48</v>
      </c>
      <c r="M124">
        <v>2</v>
      </c>
      <c r="N124">
        <v>50938</v>
      </c>
      <c r="O124">
        <v>15</v>
      </c>
      <c r="P124">
        <v>15281.4</v>
      </c>
      <c r="Q124">
        <v>86594.6</v>
      </c>
      <c r="R124">
        <v>57463.42</v>
      </c>
      <c r="S124">
        <v>29131.18</v>
      </c>
      <c r="T124" t="s">
        <v>30</v>
      </c>
      <c r="U124" t="s">
        <v>31</v>
      </c>
    </row>
    <row r="125" spans="1:21" x14ac:dyDescent="0.3">
      <c r="A125" t="s">
        <v>324</v>
      </c>
      <c r="B125" s="2">
        <v>45885</v>
      </c>
      <c r="C125" t="s">
        <v>325</v>
      </c>
      <c r="D125" t="s">
        <v>133</v>
      </c>
      <c r="E125" t="s">
        <v>35</v>
      </c>
      <c r="F125">
        <v>48</v>
      </c>
      <c r="G125" t="s">
        <v>72</v>
      </c>
      <c r="H125" t="s">
        <v>73</v>
      </c>
      <c r="I125" t="s">
        <v>53</v>
      </c>
      <c r="J125" t="s">
        <v>47</v>
      </c>
      <c r="K125" t="s">
        <v>53</v>
      </c>
      <c r="L125" t="s">
        <v>48</v>
      </c>
      <c r="M125">
        <v>3</v>
      </c>
      <c r="N125">
        <v>15356</v>
      </c>
      <c r="O125">
        <v>20</v>
      </c>
      <c r="P125">
        <v>9213.6</v>
      </c>
      <c r="Q125">
        <v>36854.400000000001</v>
      </c>
      <c r="R125">
        <v>21260.1</v>
      </c>
      <c r="S125">
        <v>15594.3</v>
      </c>
      <c r="T125" t="s">
        <v>30</v>
      </c>
      <c r="U125" t="s">
        <v>49</v>
      </c>
    </row>
    <row r="126" spans="1:21" x14ac:dyDescent="0.3">
      <c r="A126" t="s">
        <v>326</v>
      </c>
      <c r="B126" s="2">
        <v>45886</v>
      </c>
      <c r="C126" t="s">
        <v>327</v>
      </c>
      <c r="D126" t="s">
        <v>116</v>
      </c>
      <c r="E126" t="s">
        <v>35</v>
      </c>
      <c r="F126">
        <v>34</v>
      </c>
      <c r="G126" t="s">
        <v>98</v>
      </c>
      <c r="H126" t="s">
        <v>98</v>
      </c>
      <c r="I126" t="s">
        <v>46</v>
      </c>
      <c r="J126" t="s">
        <v>47</v>
      </c>
      <c r="K126" t="s">
        <v>46</v>
      </c>
      <c r="L126" t="s">
        <v>29</v>
      </c>
      <c r="M126">
        <v>4</v>
      </c>
      <c r="N126">
        <v>18910</v>
      </c>
      <c r="O126">
        <v>5</v>
      </c>
      <c r="P126">
        <v>3782</v>
      </c>
      <c r="Q126">
        <v>71858</v>
      </c>
      <c r="R126">
        <v>44262.75</v>
      </c>
      <c r="S126">
        <v>27595.25</v>
      </c>
      <c r="T126" t="s">
        <v>64</v>
      </c>
      <c r="U126" t="s">
        <v>31</v>
      </c>
    </row>
    <row r="127" spans="1:21" x14ac:dyDescent="0.3">
      <c r="A127" t="s">
        <v>328</v>
      </c>
      <c r="B127" s="2">
        <v>45887</v>
      </c>
      <c r="C127" t="s">
        <v>329</v>
      </c>
      <c r="D127" t="s">
        <v>167</v>
      </c>
      <c r="E127" t="s">
        <v>35</v>
      </c>
      <c r="F127">
        <v>19</v>
      </c>
      <c r="G127" t="s">
        <v>87</v>
      </c>
      <c r="H127" t="s">
        <v>88</v>
      </c>
      <c r="I127" t="s">
        <v>27</v>
      </c>
      <c r="J127" t="s">
        <v>28</v>
      </c>
      <c r="K127" t="s">
        <v>27</v>
      </c>
      <c r="L127" t="s">
        <v>89</v>
      </c>
      <c r="M127">
        <v>1</v>
      </c>
      <c r="N127">
        <v>10569</v>
      </c>
      <c r="O127">
        <v>5</v>
      </c>
      <c r="P127">
        <v>528.45000000000005</v>
      </c>
      <c r="Q127">
        <v>10040.549999999999</v>
      </c>
      <c r="R127">
        <v>8426.61</v>
      </c>
      <c r="S127">
        <v>1613.94</v>
      </c>
      <c r="T127" t="s">
        <v>40</v>
      </c>
      <c r="U127" t="s">
        <v>90</v>
      </c>
    </row>
    <row r="128" spans="1:21" x14ac:dyDescent="0.3">
      <c r="A128" t="s">
        <v>330</v>
      </c>
      <c r="B128" s="2">
        <v>45888</v>
      </c>
      <c r="C128" t="s">
        <v>325</v>
      </c>
      <c r="D128" t="s">
        <v>34</v>
      </c>
      <c r="E128" t="s">
        <v>24</v>
      </c>
      <c r="F128">
        <v>18</v>
      </c>
      <c r="G128" t="s">
        <v>98</v>
      </c>
      <c r="H128" t="s">
        <v>98</v>
      </c>
      <c r="I128" t="s">
        <v>53</v>
      </c>
      <c r="J128" t="s">
        <v>47</v>
      </c>
      <c r="K128" t="s">
        <v>53</v>
      </c>
      <c r="L128" t="s">
        <v>168</v>
      </c>
      <c r="M128">
        <v>2</v>
      </c>
      <c r="N128">
        <v>56318</v>
      </c>
      <c r="O128">
        <v>5</v>
      </c>
      <c r="P128">
        <v>5631.8</v>
      </c>
      <c r="Q128">
        <v>107004.2</v>
      </c>
      <c r="R128">
        <v>80657.960000000006</v>
      </c>
      <c r="S128">
        <v>26346.240000000002</v>
      </c>
      <c r="T128" t="s">
        <v>40</v>
      </c>
      <c r="U128" t="s">
        <v>31</v>
      </c>
    </row>
    <row r="129" spans="1:21" x14ac:dyDescent="0.3">
      <c r="A129" t="s">
        <v>331</v>
      </c>
      <c r="B129" s="2">
        <v>45889</v>
      </c>
      <c r="C129" t="s">
        <v>332</v>
      </c>
      <c r="D129" t="s">
        <v>34</v>
      </c>
      <c r="E129" t="s">
        <v>24</v>
      </c>
      <c r="F129">
        <v>24</v>
      </c>
      <c r="G129" t="s">
        <v>98</v>
      </c>
      <c r="H129" t="s">
        <v>98</v>
      </c>
      <c r="I129" t="s">
        <v>53</v>
      </c>
      <c r="J129" t="s">
        <v>47</v>
      </c>
      <c r="K129" t="s">
        <v>53</v>
      </c>
      <c r="L129" t="s">
        <v>89</v>
      </c>
      <c r="M129">
        <v>1</v>
      </c>
      <c r="N129">
        <v>30523</v>
      </c>
      <c r="O129">
        <v>15</v>
      </c>
      <c r="P129">
        <v>4578.45</v>
      </c>
      <c r="Q129">
        <v>25944.55</v>
      </c>
      <c r="R129">
        <v>15530.69</v>
      </c>
      <c r="S129">
        <v>10413.86</v>
      </c>
      <c r="T129" t="s">
        <v>95</v>
      </c>
      <c r="U129" t="s">
        <v>68</v>
      </c>
    </row>
    <row r="130" spans="1:21" x14ac:dyDescent="0.3">
      <c r="A130" t="s">
        <v>333</v>
      </c>
      <c r="B130" s="2">
        <v>45890</v>
      </c>
      <c r="C130" t="s">
        <v>22</v>
      </c>
      <c r="D130" t="s">
        <v>43</v>
      </c>
      <c r="E130" t="s">
        <v>24</v>
      </c>
      <c r="F130">
        <v>27</v>
      </c>
      <c r="G130" t="s">
        <v>72</v>
      </c>
      <c r="H130" t="s">
        <v>73</v>
      </c>
      <c r="I130" t="s">
        <v>63</v>
      </c>
      <c r="J130" t="s">
        <v>47</v>
      </c>
      <c r="K130" t="s">
        <v>63</v>
      </c>
      <c r="L130" t="s">
        <v>168</v>
      </c>
      <c r="M130">
        <v>2</v>
      </c>
      <c r="N130">
        <v>43624</v>
      </c>
      <c r="O130">
        <v>0</v>
      </c>
      <c r="P130">
        <v>0</v>
      </c>
      <c r="Q130">
        <v>87248</v>
      </c>
      <c r="R130">
        <v>72648.45</v>
      </c>
      <c r="S130">
        <v>14599.55</v>
      </c>
      <c r="T130" t="s">
        <v>55</v>
      </c>
      <c r="U130" t="s">
        <v>90</v>
      </c>
    </row>
    <row r="131" spans="1:21" x14ac:dyDescent="0.3">
      <c r="A131" t="s">
        <v>334</v>
      </c>
      <c r="B131" s="2">
        <v>45891</v>
      </c>
      <c r="C131" t="s">
        <v>335</v>
      </c>
      <c r="D131" t="s">
        <v>79</v>
      </c>
      <c r="E131" t="s">
        <v>24</v>
      </c>
      <c r="F131">
        <v>59</v>
      </c>
      <c r="G131" t="s">
        <v>25</v>
      </c>
      <c r="H131" t="s">
        <v>26</v>
      </c>
      <c r="I131" t="s">
        <v>38</v>
      </c>
      <c r="J131" t="s">
        <v>39</v>
      </c>
      <c r="K131" t="s">
        <v>38</v>
      </c>
      <c r="L131" t="s">
        <v>168</v>
      </c>
      <c r="M131">
        <v>5</v>
      </c>
      <c r="N131">
        <v>49892</v>
      </c>
      <c r="O131">
        <v>20</v>
      </c>
      <c r="P131">
        <v>49892</v>
      </c>
      <c r="Q131">
        <v>199568</v>
      </c>
      <c r="R131">
        <v>135683.43</v>
      </c>
      <c r="S131">
        <v>63884.57</v>
      </c>
      <c r="T131" t="s">
        <v>30</v>
      </c>
      <c r="U131" t="s">
        <v>68</v>
      </c>
    </row>
    <row r="132" spans="1:21" x14ac:dyDescent="0.3">
      <c r="A132" t="s">
        <v>336</v>
      </c>
      <c r="B132" s="2">
        <v>45892</v>
      </c>
      <c r="C132" t="s">
        <v>337</v>
      </c>
      <c r="D132" t="s">
        <v>86</v>
      </c>
      <c r="E132" t="s">
        <v>24</v>
      </c>
      <c r="F132">
        <v>57</v>
      </c>
      <c r="G132" t="s">
        <v>101</v>
      </c>
      <c r="H132" t="s">
        <v>102</v>
      </c>
      <c r="I132" t="s">
        <v>94</v>
      </c>
      <c r="J132" t="s">
        <v>39</v>
      </c>
      <c r="K132" t="s">
        <v>94</v>
      </c>
      <c r="L132" t="s">
        <v>54</v>
      </c>
      <c r="M132">
        <v>3</v>
      </c>
      <c r="N132">
        <v>48733</v>
      </c>
      <c r="O132">
        <v>5</v>
      </c>
      <c r="P132">
        <v>7309.95</v>
      </c>
      <c r="Q132">
        <v>138889.04999999999</v>
      </c>
      <c r="R132">
        <v>104397.21</v>
      </c>
      <c r="S132">
        <v>34491.839999999997</v>
      </c>
      <c r="T132" t="s">
        <v>40</v>
      </c>
      <c r="U132" t="s">
        <v>68</v>
      </c>
    </row>
    <row r="133" spans="1:21" x14ac:dyDescent="0.3">
      <c r="A133" t="s">
        <v>338</v>
      </c>
      <c r="B133" s="2">
        <v>45893</v>
      </c>
      <c r="C133" t="s">
        <v>339</v>
      </c>
      <c r="D133" t="s">
        <v>23</v>
      </c>
      <c r="E133" t="s">
        <v>24</v>
      </c>
      <c r="F133">
        <v>56</v>
      </c>
      <c r="G133" t="s">
        <v>59</v>
      </c>
      <c r="H133" t="s">
        <v>60</v>
      </c>
      <c r="I133" t="s">
        <v>67</v>
      </c>
      <c r="J133" t="s">
        <v>47</v>
      </c>
      <c r="K133" t="s">
        <v>67</v>
      </c>
      <c r="L133" t="s">
        <v>151</v>
      </c>
      <c r="M133">
        <v>5</v>
      </c>
      <c r="N133">
        <v>39726</v>
      </c>
      <c r="O133">
        <v>20</v>
      </c>
      <c r="P133">
        <v>39726</v>
      </c>
      <c r="Q133">
        <v>158904</v>
      </c>
      <c r="R133">
        <v>133665.71</v>
      </c>
      <c r="S133">
        <v>25238.29</v>
      </c>
      <c r="T133" t="s">
        <v>40</v>
      </c>
      <c r="U133" t="s">
        <v>68</v>
      </c>
    </row>
    <row r="134" spans="1:21" x14ac:dyDescent="0.3">
      <c r="A134" t="s">
        <v>340</v>
      </c>
      <c r="B134" s="2">
        <v>45894</v>
      </c>
      <c r="C134" t="s">
        <v>341</v>
      </c>
      <c r="D134" t="s">
        <v>121</v>
      </c>
      <c r="E134" t="s">
        <v>35</v>
      </c>
      <c r="F134">
        <v>51</v>
      </c>
      <c r="G134" t="s">
        <v>44</v>
      </c>
      <c r="H134" t="s">
        <v>45</v>
      </c>
      <c r="I134" t="s">
        <v>46</v>
      </c>
      <c r="J134" t="s">
        <v>47</v>
      </c>
      <c r="K134" t="s">
        <v>46</v>
      </c>
      <c r="L134" t="s">
        <v>48</v>
      </c>
      <c r="M134">
        <v>3</v>
      </c>
      <c r="N134">
        <v>46345</v>
      </c>
      <c r="O134">
        <v>10</v>
      </c>
      <c r="P134">
        <v>13903.5</v>
      </c>
      <c r="Q134">
        <v>125131.5</v>
      </c>
      <c r="R134">
        <v>79051.600000000006</v>
      </c>
      <c r="S134">
        <v>46079.9</v>
      </c>
      <c r="T134" t="s">
        <v>40</v>
      </c>
      <c r="U134" t="s">
        <v>49</v>
      </c>
    </row>
    <row r="135" spans="1:21" x14ac:dyDescent="0.3">
      <c r="A135" t="s">
        <v>342</v>
      </c>
      <c r="B135" s="2">
        <v>45895</v>
      </c>
      <c r="C135" t="s">
        <v>343</v>
      </c>
      <c r="D135" t="s">
        <v>116</v>
      </c>
      <c r="E135" t="s">
        <v>35</v>
      </c>
      <c r="F135">
        <v>22</v>
      </c>
      <c r="G135" t="s">
        <v>101</v>
      </c>
      <c r="H135" t="s">
        <v>102</v>
      </c>
      <c r="I135" t="s">
        <v>63</v>
      </c>
      <c r="J135" t="s">
        <v>47</v>
      </c>
      <c r="K135" t="s">
        <v>63</v>
      </c>
      <c r="L135" t="s">
        <v>168</v>
      </c>
      <c r="M135">
        <v>4</v>
      </c>
      <c r="N135">
        <v>19428</v>
      </c>
      <c r="O135">
        <v>15</v>
      </c>
      <c r="P135">
        <v>11656.8</v>
      </c>
      <c r="Q135">
        <v>66055.199999999997</v>
      </c>
      <c r="R135">
        <v>40338.22</v>
      </c>
      <c r="S135">
        <v>25716.98</v>
      </c>
      <c r="T135" t="s">
        <v>40</v>
      </c>
      <c r="U135" t="s">
        <v>31</v>
      </c>
    </row>
    <row r="136" spans="1:21" x14ac:dyDescent="0.3">
      <c r="A136" t="s">
        <v>344</v>
      </c>
      <c r="B136" s="2">
        <v>45896</v>
      </c>
      <c r="C136" t="s">
        <v>345</v>
      </c>
      <c r="D136" t="s">
        <v>116</v>
      </c>
      <c r="E136" t="s">
        <v>35</v>
      </c>
      <c r="F136">
        <v>57</v>
      </c>
      <c r="G136" t="s">
        <v>87</v>
      </c>
      <c r="H136" t="s">
        <v>88</v>
      </c>
      <c r="I136" t="s">
        <v>27</v>
      </c>
      <c r="J136" t="s">
        <v>28</v>
      </c>
      <c r="K136" t="s">
        <v>27</v>
      </c>
      <c r="L136" t="s">
        <v>29</v>
      </c>
      <c r="M136">
        <v>3</v>
      </c>
      <c r="N136">
        <v>27432</v>
      </c>
      <c r="O136">
        <v>20</v>
      </c>
      <c r="P136">
        <v>16459.2</v>
      </c>
      <c r="Q136">
        <v>65836.800000000003</v>
      </c>
      <c r="R136">
        <v>39445.129999999997</v>
      </c>
      <c r="S136">
        <v>26391.67</v>
      </c>
      <c r="T136" t="s">
        <v>64</v>
      </c>
      <c r="U136" t="s">
        <v>31</v>
      </c>
    </row>
    <row r="137" spans="1:21" x14ac:dyDescent="0.3">
      <c r="A137" t="s">
        <v>346</v>
      </c>
      <c r="B137" s="2">
        <v>45897</v>
      </c>
      <c r="C137" t="s">
        <v>347</v>
      </c>
      <c r="D137" t="s">
        <v>71</v>
      </c>
      <c r="E137" t="s">
        <v>35</v>
      </c>
      <c r="F137">
        <v>28</v>
      </c>
      <c r="G137" t="s">
        <v>25</v>
      </c>
      <c r="H137" t="s">
        <v>26</v>
      </c>
      <c r="I137" t="s">
        <v>27</v>
      </c>
      <c r="J137" t="s">
        <v>28</v>
      </c>
      <c r="K137" t="s">
        <v>27</v>
      </c>
      <c r="L137" t="s">
        <v>81</v>
      </c>
      <c r="M137">
        <v>1</v>
      </c>
      <c r="N137">
        <v>35856</v>
      </c>
      <c r="O137">
        <v>10</v>
      </c>
      <c r="P137">
        <v>3585.6</v>
      </c>
      <c r="Q137">
        <v>32270.400000000001</v>
      </c>
      <c r="R137">
        <v>17794.64</v>
      </c>
      <c r="S137">
        <v>14475.76</v>
      </c>
      <c r="T137" t="s">
        <v>55</v>
      </c>
      <c r="U137" t="s">
        <v>90</v>
      </c>
    </row>
    <row r="138" spans="1:21" x14ac:dyDescent="0.3">
      <c r="A138" t="s">
        <v>348</v>
      </c>
      <c r="B138" s="2">
        <v>45898</v>
      </c>
      <c r="C138" t="s">
        <v>349</v>
      </c>
      <c r="D138" t="s">
        <v>86</v>
      </c>
      <c r="E138" t="s">
        <v>24</v>
      </c>
      <c r="F138">
        <v>22</v>
      </c>
      <c r="G138" t="s">
        <v>146</v>
      </c>
      <c r="H138" t="s">
        <v>60</v>
      </c>
      <c r="I138" t="s">
        <v>67</v>
      </c>
      <c r="J138" t="s">
        <v>47</v>
      </c>
      <c r="K138" t="s">
        <v>67</v>
      </c>
      <c r="L138" t="s">
        <v>168</v>
      </c>
      <c r="M138">
        <v>3</v>
      </c>
      <c r="N138">
        <v>8736</v>
      </c>
      <c r="O138">
        <v>20</v>
      </c>
      <c r="P138">
        <v>5241.6000000000004</v>
      </c>
      <c r="Q138">
        <v>20966.400000000001</v>
      </c>
      <c r="R138">
        <v>13389.56</v>
      </c>
      <c r="S138">
        <v>7576.84</v>
      </c>
      <c r="T138" t="s">
        <v>95</v>
      </c>
      <c r="U138" t="s">
        <v>68</v>
      </c>
    </row>
    <row r="139" spans="1:21" x14ac:dyDescent="0.3">
      <c r="A139" t="s">
        <v>350</v>
      </c>
      <c r="B139" s="2">
        <v>45899</v>
      </c>
      <c r="C139" t="s">
        <v>351</v>
      </c>
      <c r="D139" t="s">
        <v>76</v>
      </c>
      <c r="E139" t="s">
        <v>24</v>
      </c>
      <c r="F139">
        <v>37</v>
      </c>
      <c r="G139" t="s">
        <v>98</v>
      </c>
      <c r="H139" t="s">
        <v>98</v>
      </c>
      <c r="I139" t="s">
        <v>27</v>
      </c>
      <c r="J139" t="s">
        <v>28</v>
      </c>
      <c r="K139" t="s">
        <v>27</v>
      </c>
      <c r="L139" t="s">
        <v>89</v>
      </c>
      <c r="M139">
        <v>3</v>
      </c>
      <c r="N139">
        <v>34511</v>
      </c>
      <c r="O139">
        <v>10</v>
      </c>
      <c r="P139">
        <v>10353.299999999999</v>
      </c>
      <c r="Q139">
        <v>93179.7</v>
      </c>
      <c r="R139">
        <v>76076.070000000007</v>
      </c>
      <c r="S139">
        <v>17103.63</v>
      </c>
      <c r="T139" t="s">
        <v>55</v>
      </c>
      <c r="U139" t="s">
        <v>90</v>
      </c>
    </row>
    <row r="140" spans="1:21" x14ac:dyDescent="0.3">
      <c r="A140" t="s">
        <v>352</v>
      </c>
      <c r="B140" s="2">
        <v>45900</v>
      </c>
      <c r="C140" t="s">
        <v>353</v>
      </c>
      <c r="D140" t="s">
        <v>52</v>
      </c>
      <c r="E140" t="s">
        <v>24</v>
      </c>
      <c r="F140">
        <v>29</v>
      </c>
      <c r="G140" t="s">
        <v>36</v>
      </c>
      <c r="H140" t="s">
        <v>37</v>
      </c>
      <c r="I140" t="s">
        <v>63</v>
      </c>
      <c r="J140" t="s">
        <v>47</v>
      </c>
      <c r="K140" t="s">
        <v>63</v>
      </c>
      <c r="L140" t="s">
        <v>105</v>
      </c>
      <c r="M140">
        <v>5</v>
      </c>
      <c r="N140">
        <v>43246</v>
      </c>
      <c r="O140">
        <v>5</v>
      </c>
      <c r="P140">
        <v>10811.5</v>
      </c>
      <c r="Q140">
        <v>205418.5</v>
      </c>
      <c r="R140">
        <v>121785.41</v>
      </c>
      <c r="S140">
        <v>83633.09</v>
      </c>
      <c r="T140" t="s">
        <v>40</v>
      </c>
      <c r="U140" t="s">
        <v>31</v>
      </c>
    </row>
    <row r="141" spans="1:21" x14ac:dyDescent="0.3">
      <c r="A141" t="s">
        <v>354</v>
      </c>
      <c r="B141" s="2">
        <v>45901</v>
      </c>
      <c r="C141" t="s">
        <v>355</v>
      </c>
      <c r="D141" t="s">
        <v>167</v>
      </c>
      <c r="E141" t="s">
        <v>35</v>
      </c>
      <c r="F141">
        <v>44</v>
      </c>
      <c r="G141" t="s">
        <v>98</v>
      </c>
      <c r="H141" t="s">
        <v>98</v>
      </c>
      <c r="I141" t="s">
        <v>67</v>
      </c>
      <c r="J141" t="s">
        <v>47</v>
      </c>
      <c r="K141" t="s">
        <v>67</v>
      </c>
      <c r="L141" t="s">
        <v>29</v>
      </c>
      <c r="M141">
        <v>4</v>
      </c>
      <c r="N141">
        <v>23520</v>
      </c>
      <c r="O141">
        <v>5</v>
      </c>
      <c r="P141">
        <v>4704</v>
      </c>
      <c r="Q141">
        <v>89376</v>
      </c>
      <c r="R141">
        <v>67869.570000000007</v>
      </c>
      <c r="S141">
        <v>21506.43</v>
      </c>
      <c r="T141" t="s">
        <v>64</v>
      </c>
      <c r="U141" t="s">
        <v>49</v>
      </c>
    </row>
    <row r="142" spans="1:21" x14ac:dyDescent="0.3">
      <c r="A142" t="s">
        <v>356</v>
      </c>
      <c r="B142" s="2">
        <v>45902</v>
      </c>
      <c r="C142" t="s">
        <v>357</v>
      </c>
      <c r="D142" t="s">
        <v>58</v>
      </c>
      <c r="E142" t="s">
        <v>35</v>
      </c>
      <c r="F142">
        <v>23</v>
      </c>
      <c r="G142" t="s">
        <v>98</v>
      </c>
      <c r="H142" t="s">
        <v>98</v>
      </c>
      <c r="I142" t="s">
        <v>63</v>
      </c>
      <c r="J142" t="s">
        <v>47</v>
      </c>
      <c r="K142" t="s">
        <v>63</v>
      </c>
      <c r="L142" t="s">
        <v>89</v>
      </c>
      <c r="M142">
        <v>2</v>
      </c>
      <c r="N142">
        <v>1354</v>
      </c>
      <c r="O142">
        <v>5</v>
      </c>
      <c r="P142">
        <v>135.4</v>
      </c>
      <c r="Q142">
        <v>2572.6</v>
      </c>
      <c r="R142">
        <v>1990.14</v>
      </c>
      <c r="S142">
        <v>582.46</v>
      </c>
      <c r="T142" t="s">
        <v>40</v>
      </c>
      <c r="U142" t="s">
        <v>90</v>
      </c>
    </row>
    <row r="143" spans="1:21" x14ac:dyDescent="0.3">
      <c r="A143" t="s">
        <v>358</v>
      </c>
      <c r="B143" s="2">
        <v>45903</v>
      </c>
      <c r="C143" t="s">
        <v>359</v>
      </c>
      <c r="D143" t="s">
        <v>133</v>
      </c>
      <c r="E143" t="s">
        <v>24</v>
      </c>
      <c r="F143">
        <v>50</v>
      </c>
      <c r="G143" t="s">
        <v>101</v>
      </c>
      <c r="H143" t="s">
        <v>102</v>
      </c>
      <c r="I143" t="s">
        <v>53</v>
      </c>
      <c r="J143" t="s">
        <v>47</v>
      </c>
      <c r="K143" t="s">
        <v>53</v>
      </c>
      <c r="L143" t="s">
        <v>81</v>
      </c>
      <c r="M143">
        <v>4</v>
      </c>
      <c r="N143">
        <v>41207</v>
      </c>
      <c r="O143">
        <v>15</v>
      </c>
      <c r="P143">
        <v>24724.2</v>
      </c>
      <c r="Q143">
        <v>140103.79999999999</v>
      </c>
      <c r="R143">
        <v>78096.7</v>
      </c>
      <c r="S143">
        <v>62007.1</v>
      </c>
      <c r="T143" t="s">
        <v>40</v>
      </c>
      <c r="U143" t="s">
        <v>31</v>
      </c>
    </row>
    <row r="144" spans="1:21" x14ac:dyDescent="0.3">
      <c r="A144" t="s">
        <v>360</v>
      </c>
      <c r="B144" s="2">
        <v>45904</v>
      </c>
      <c r="C144" t="s">
        <v>361</v>
      </c>
      <c r="D144" t="s">
        <v>93</v>
      </c>
      <c r="E144" t="s">
        <v>24</v>
      </c>
      <c r="F144">
        <v>18</v>
      </c>
      <c r="G144" t="s">
        <v>72</v>
      </c>
      <c r="H144" t="s">
        <v>73</v>
      </c>
      <c r="I144" t="s">
        <v>46</v>
      </c>
      <c r="J144" t="s">
        <v>47</v>
      </c>
      <c r="K144" t="s">
        <v>46</v>
      </c>
      <c r="L144" t="s">
        <v>81</v>
      </c>
      <c r="M144">
        <v>1</v>
      </c>
      <c r="N144">
        <v>11922</v>
      </c>
      <c r="O144">
        <v>15</v>
      </c>
      <c r="P144">
        <v>1788.3</v>
      </c>
      <c r="Q144">
        <v>10133.700000000001</v>
      </c>
      <c r="R144">
        <v>6357.34</v>
      </c>
      <c r="S144">
        <v>3776.36</v>
      </c>
      <c r="T144" t="s">
        <v>40</v>
      </c>
      <c r="U144" t="s">
        <v>31</v>
      </c>
    </row>
    <row r="145" spans="1:21" x14ac:dyDescent="0.3">
      <c r="A145" t="s">
        <v>362</v>
      </c>
      <c r="B145" s="2">
        <v>45905</v>
      </c>
      <c r="C145" t="s">
        <v>212</v>
      </c>
      <c r="D145" t="s">
        <v>93</v>
      </c>
      <c r="E145" t="s">
        <v>35</v>
      </c>
      <c r="F145">
        <v>27</v>
      </c>
      <c r="G145" t="s">
        <v>101</v>
      </c>
      <c r="H145" t="s">
        <v>102</v>
      </c>
      <c r="I145" t="s">
        <v>46</v>
      </c>
      <c r="J145" t="s">
        <v>47</v>
      </c>
      <c r="K145" t="s">
        <v>46</v>
      </c>
      <c r="L145" t="s">
        <v>81</v>
      </c>
      <c r="M145">
        <v>2</v>
      </c>
      <c r="N145">
        <v>11931</v>
      </c>
      <c r="O145">
        <v>20</v>
      </c>
      <c r="P145">
        <v>4772.3999999999996</v>
      </c>
      <c r="Q145">
        <v>19089.599999999999</v>
      </c>
      <c r="R145">
        <v>11349.89</v>
      </c>
      <c r="S145">
        <v>7739.71</v>
      </c>
      <c r="T145" t="s">
        <v>30</v>
      </c>
      <c r="U145" t="s">
        <v>49</v>
      </c>
    </row>
    <row r="146" spans="1:21" x14ac:dyDescent="0.3">
      <c r="A146" t="s">
        <v>363</v>
      </c>
      <c r="B146" s="2">
        <v>45906</v>
      </c>
      <c r="C146" t="s">
        <v>364</v>
      </c>
      <c r="D146" t="s">
        <v>167</v>
      </c>
      <c r="E146" t="s">
        <v>24</v>
      </c>
      <c r="F146">
        <v>28</v>
      </c>
      <c r="G146" t="s">
        <v>59</v>
      </c>
      <c r="H146" t="s">
        <v>60</v>
      </c>
      <c r="I146" t="s">
        <v>63</v>
      </c>
      <c r="J146" t="s">
        <v>47</v>
      </c>
      <c r="K146" t="s">
        <v>63</v>
      </c>
      <c r="L146" t="s">
        <v>168</v>
      </c>
      <c r="M146">
        <v>2</v>
      </c>
      <c r="N146">
        <v>13708</v>
      </c>
      <c r="O146">
        <v>0</v>
      </c>
      <c r="P146">
        <v>0</v>
      </c>
      <c r="Q146">
        <v>27416</v>
      </c>
      <c r="R146">
        <v>20580.189999999999</v>
      </c>
      <c r="S146">
        <v>6835.81</v>
      </c>
      <c r="T146" t="s">
        <v>95</v>
      </c>
      <c r="U146" t="s">
        <v>31</v>
      </c>
    </row>
    <row r="147" spans="1:21" x14ac:dyDescent="0.3">
      <c r="A147" t="s">
        <v>365</v>
      </c>
      <c r="B147" s="2">
        <v>45907</v>
      </c>
      <c r="C147" t="s">
        <v>366</v>
      </c>
      <c r="D147" t="s">
        <v>52</v>
      </c>
      <c r="E147" t="s">
        <v>24</v>
      </c>
      <c r="F147">
        <v>54</v>
      </c>
      <c r="G147" t="s">
        <v>87</v>
      </c>
      <c r="H147" t="s">
        <v>88</v>
      </c>
      <c r="I147" t="s">
        <v>94</v>
      </c>
      <c r="J147" t="s">
        <v>39</v>
      </c>
      <c r="K147" t="s">
        <v>94</v>
      </c>
      <c r="L147" t="s">
        <v>89</v>
      </c>
      <c r="M147">
        <v>2</v>
      </c>
      <c r="N147">
        <v>38130</v>
      </c>
      <c r="O147">
        <v>10</v>
      </c>
      <c r="P147">
        <v>7626</v>
      </c>
      <c r="Q147">
        <v>68634</v>
      </c>
      <c r="R147">
        <v>51316.22</v>
      </c>
      <c r="S147">
        <v>17317.78</v>
      </c>
      <c r="T147" t="s">
        <v>40</v>
      </c>
      <c r="U147" t="s">
        <v>90</v>
      </c>
    </row>
    <row r="148" spans="1:21" x14ac:dyDescent="0.3">
      <c r="A148" t="s">
        <v>367</v>
      </c>
      <c r="B148" s="2">
        <v>45908</v>
      </c>
      <c r="C148" t="s">
        <v>368</v>
      </c>
      <c r="D148" t="s">
        <v>167</v>
      </c>
      <c r="E148" t="s">
        <v>35</v>
      </c>
      <c r="F148">
        <v>34</v>
      </c>
      <c r="G148" t="s">
        <v>146</v>
      </c>
      <c r="H148" t="s">
        <v>60</v>
      </c>
      <c r="I148" t="s">
        <v>38</v>
      </c>
      <c r="J148" t="s">
        <v>39</v>
      </c>
      <c r="K148" t="s">
        <v>38</v>
      </c>
      <c r="L148" t="s">
        <v>81</v>
      </c>
      <c r="M148">
        <v>2</v>
      </c>
      <c r="N148">
        <v>26602</v>
      </c>
      <c r="O148">
        <v>15</v>
      </c>
      <c r="P148">
        <v>7980.6</v>
      </c>
      <c r="Q148">
        <v>45223.4</v>
      </c>
      <c r="R148">
        <v>33420.01</v>
      </c>
      <c r="S148">
        <v>11803.39</v>
      </c>
      <c r="T148" t="s">
        <v>64</v>
      </c>
      <c r="U148" t="s">
        <v>49</v>
      </c>
    </row>
    <row r="149" spans="1:21" x14ac:dyDescent="0.3">
      <c r="A149" t="s">
        <v>369</v>
      </c>
      <c r="B149" s="2">
        <v>45909</v>
      </c>
      <c r="C149" t="s">
        <v>370</v>
      </c>
      <c r="D149" t="s">
        <v>121</v>
      </c>
      <c r="E149" t="s">
        <v>24</v>
      </c>
      <c r="F149">
        <v>50</v>
      </c>
      <c r="G149" t="s">
        <v>87</v>
      </c>
      <c r="H149" t="s">
        <v>88</v>
      </c>
      <c r="I149" t="s">
        <v>38</v>
      </c>
      <c r="J149" t="s">
        <v>39</v>
      </c>
      <c r="K149" t="s">
        <v>38</v>
      </c>
      <c r="L149" t="s">
        <v>89</v>
      </c>
      <c r="M149">
        <v>5</v>
      </c>
      <c r="N149">
        <v>26687</v>
      </c>
      <c r="O149">
        <v>0</v>
      </c>
      <c r="P149">
        <v>0</v>
      </c>
      <c r="Q149">
        <v>133435</v>
      </c>
      <c r="R149">
        <v>81670.48</v>
      </c>
      <c r="S149">
        <v>51764.52</v>
      </c>
      <c r="T149" t="s">
        <v>55</v>
      </c>
      <c r="U149" t="s">
        <v>31</v>
      </c>
    </row>
    <row r="150" spans="1:21" x14ac:dyDescent="0.3">
      <c r="A150" t="s">
        <v>371</v>
      </c>
      <c r="B150" s="2">
        <v>45910</v>
      </c>
      <c r="C150" t="s">
        <v>372</v>
      </c>
      <c r="D150" t="s">
        <v>167</v>
      </c>
      <c r="E150" t="s">
        <v>24</v>
      </c>
      <c r="F150">
        <v>27</v>
      </c>
      <c r="G150" t="s">
        <v>110</v>
      </c>
      <c r="H150" t="s">
        <v>111</v>
      </c>
      <c r="I150" t="s">
        <v>63</v>
      </c>
      <c r="J150" t="s">
        <v>47</v>
      </c>
      <c r="K150" t="s">
        <v>63</v>
      </c>
      <c r="L150" t="s">
        <v>89</v>
      </c>
      <c r="M150">
        <v>3</v>
      </c>
      <c r="N150">
        <v>20250</v>
      </c>
      <c r="O150">
        <v>5</v>
      </c>
      <c r="P150">
        <v>3037.5</v>
      </c>
      <c r="Q150">
        <v>57712.5</v>
      </c>
      <c r="R150">
        <v>42854.82</v>
      </c>
      <c r="S150">
        <v>14857.68</v>
      </c>
      <c r="T150" t="s">
        <v>95</v>
      </c>
      <c r="U150" t="s">
        <v>68</v>
      </c>
    </row>
    <row r="151" spans="1:21" x14ac:dyDescent="0.3">
      <c r="A151" t="s">
        <v>373</v>
      </c>
      <c r="B151" s="2">
        <v>45911</v>
      </c>
      <c r="C151" t="s">
        <v>374</v>
      </c>
      <c r="D151" t="s">
        <v>34</v>
      </c>
      <c r="E151" t="s">
        <v>35</v>
      </c>
      <c r="F151">
        <v>28</v>
      </c>
      <c r="G151" t="s">
        <v>101</v>
      </c>
      <c r="H151" t="s">
        <v>102</v>
      </c>
      <c r="I151" t="s">
        <v>46</v>
      </c>
      <c r="J151" t="s">
        <v>47</v>
      </c>
      <c r="K151" t="s">
        <v>46</v>
      </c>
      <c r="L151" t="s">
        <v>151</v>
      </c>
      <c r="M151">
        <v>1</v>
      </c>
      <c r="N151">
        <v>32298</v>
      </c>
      <c r="O151">
        <v>0</v>
      </c>
      <c r="P151">
        <v>0</v>
      </c>
      <c r="Q151">
        <v>32298</v>
      </c>
      <c r="R151">
        <v>21194.16</v>
      </c>
      <c r="S151">
        <v>11103.84</v>
      </c>
      <c r="T151" t="s">
        <v>64</v>
      </c>
      <c r="U151" t="s">
        <v>31</v>
      </c>
    </row>
    <row r="152" spans="1:21" x14ac:dyDescent="0.3">
      <c r="A152" t="s">
        <v>375</v>
      </c>
      <c r="B152" s="2">
        <v>45912</v>
      </c>
      <c r="C152" t="s">
        <v>376</v>
      </c>
      <c r="D152" t="s">
        <v>86</v>
      </c>
      <c r="E152" t="s">
        <v>35</v>
      </c>
      <c r="F152">
        <v>31</v>
      </c>
      <c r="G152" t="s">
        <v>98</v>
      </c>
      <c r="H152" t="s">
        <v>98</v>
      </c>
      <c r="I152" t="s">
        <v>63</v>
      </c>
      <c r="J152" t="s">
        <v>47</v>
      </c>
      <c r="K152" t="s">
        <v>63</v>
      </c>
      <c r="L152" t="s">
        <v>105</v>
      </c>
      <c r="M152">
        <v>4</v>
      </c>
      <c r="N152">
        <v>27915</v>
      </c>
      <c r="O152">
        <v>15</v>
      </c>
      <c r="P152">
        <v>16749</v>
      </c>
      <c r="Q152">
        <v>94911</v>
      </c>
      <c r="R152">
        <v>65502.48</v>
      </c>
      <c r="S152">
        <v>29408.52</v>
      </c>
      <c r="T152" t="s">
        <v>64</v>
      </c>
      <c r="U152" t="s">
        <v>31</v>
      </c>
    </row>
    <row r="153" spans="1:21" x14ac:dyDescent="0.3">
      <c r="A153" t="s">
        <v>377</v>
      </c>
      <c r="B153" s="2">
        <v>45913</v>
      </c>
      <c r="C153" t="s">
        <v>323</v>
      </c>
      <c r="D153" t="s">
        <v>52</v>
      </c>
      <c r="E153" t="s">
        <v>24</v>
      </c>
      <c r="F153">
        <v>34</v>
      </c>
      <c r="G153" t="s">
        <v>110</v>
      </c>
      <c r="H153" t="s">
        <v>111</v>
      </c>
      <c r="I153" t="s">
        <v>46</v>
      </c>
      <c r="J153" t="s">
        <v>47</v>
      </c>
      <c r="K153" t="s">
        <v>46</v>
      </c>
      <c r="L153" t="s">
        <v>29</v>
      </c>
      <c r="M153">
        <v>2</v>
      </c>
      <c r="N153">
        <v>48078</v>
      </c>
      <c r="O153">
        <v>20</v>
      </c>
      <c r="P153">
        <v>19231.2</v>
      </c>
      <c r="Q153">
        <v>76924.800000000003</v>
      </c>
      <c r="R153">
        <v>48183.37</v>
      </c>
      <c r="S153">
        <v>28741.43</v>
      </c>
      <c r="T153" t="s">
        <v>64</v>
      </c>
      <c r="U153" t="s">
        <v>31</v>
      </c>
    </row>
    <row r="154" spans="1:21" x14ac:dyDescent="0.3">
      <c r="A154" t="s">
        <v>378</v>
      </c>
      <c r="B154" s="2">
        <v>45914</v>
      </c>
      <c r="C154" t="s">
        <v>351</v>
      </c>
      <c r="D154" t="s">
        <v>23</v>
      </c>
      <c r="E154" t="s">
        <v>24</v>
      </c>
      <c r="F154">
        <v>49</v>
      </c>
      <c r="G154" t="s">
        <v>146</v>
      </c>
      <c r="H154" t="s">
        <v>60</v>
      </c>
      <c r="I154" t="s">
        <v>94</v>
      </c>
      <c r="J154" t="s">
        <v>39</v>
      </c>
      <c r="K154" t="s">
        <v>94</v>
      </c>
      <c r="L154" t="s">
        <v>54</v>
      </c>
      <c r="M154">
        <v>4</v>
      </c>
      <c r="N154">
        <v>52575</v>
      </c>
      <c r="O154">
        <v>5</v>
      </c>
      <c r="P154">
        <v>10515</v>
      </c>
      <c r="Q154">
        <v>199785</v>
      </c>
      <c r="R154">
        <v>168395.83</v>
      </c>
      <c r="S154">
        <v>31389.17</v>
      </c>
      <c r="T154" t="s">
        <v>40</v>
      </c>
      <c r="U154" t="s">
        <v>31</v>
      </c>
    </row>
    <row r="155" spans="1:21" x14ac:dyDescent="0.3">
      <c r="A155" t="s">
        <v>379</v>
      </c>
      <c r="B155" s="2">
        <v>45915</v>
      </c>
      <c r="C155" t="s">
        <v>380</v>
      </c>
      <c r="D155" t="s">
        <v>23</v>
      </c>
      <c r="E155" t="s">
        <v>35</v>
      </c>
      <c r="F155">
        <v>46</v>
      </c>
      <c r="G155" t="s">
        <v>101</v>
      </c>
      <c r="H155" t="s">
        <v>102</v>
      </c>
      <c r="I155" t="s">
        <v>53</v>
      </c>
      <c r="J155" t="s">
        <v>47</v>
      </c>
      <c r="K155" t="s">
        <v>53</v>
      </c>
      <c r="L155" t="s">
        <v>54</v>
      </c>
      <c r="M155">
        <v>1</v>
      </c>
      <c r="N155">
        <v>51775</v>
      </c>
      <c r="O155">
        <v>0</v>
      </c>
      <c r="P155">
        <v>0</v>
      </c>
      <c r="Q155">
        <v>51775</v>
      </c>
      <c r="R155">
        <v>43285.5</v>
      </c>
      <c r="S155">
        <v>8489.5</v>
      </c>
      <c r="T155" t="s">
        <v>55</v>
      </c>
      <c r="U155" t="s">
        <v>31</v>
      </c>
    </row>
    <row r="156" spans="1:21" x14ac:dyDescent="0.3">
      <c r="A156" t="s">
        <v>381</v>
      </c>
      <c r="B156" s="2">
        <v>45916</v>
      </c>
      <c r="C156" t="s">
        <v>382</v>
      </c>
      <c r="D156" t="s">
        <v>86</v>
      </c>
      <c r="E156" t="s">
        <v>24</v>
      </c>
      <c r="F156">
        <v>55</v>
      </c>
      <c r="G156" t="s">
        <v>98</v>
      </c>
      <c r="H156" t="s">
        <v>98</v>
      </c>
      <c r="I156" t="s">
        <v>94</v>
      </c>
      <c r="J156" t="s">
        <v>39</v>
      </c>
      <c r="K156" t="s">
        <v>94</v>
      </c>
      <c r="L156" t="s">
        <v>54</v>
      </c>
      <c r="M156">
        <v>3</v>
      </c>
      <c r="N156">
        <v>13439</v>
      </c>
      <c r="O156">
        <v>10</v>
      </c>
      <c r="P156">
        <v>4031.7</v>
      </c>
      <c r="Q156">
        <v>36285.300000000003</v>
      </c>
      <c r="R156">
        <v>28956.58</v>
      </c>
      <c r="S156">
        <v>7328.72</v>
      </c>
      <c r="T156" t="s">
        <v>64</v>
      </c>
      <c r="U156" t="s">
        <v>49</v>
      </c>
    </row>
    <row r="157" spans="1:21" x14ac:dyDescent="0.3">
      <c r="A157" t="s">
        <v>383</v>
      </c>
      <c r="B157" s="2">
        <v>45917</v>
      </c>
      <c r="C157" t="s">
        <v>384</v>
      </c>
      <c r="D157" t="s">
        <v>133</v>
      </c>
      <c r="E157" t="s">
        <v>35</v>
      </c>
      <c r="F157">
        <v>50</v>
      </c>
      <c r="G157" t="s">
        <v>98</v>
      </c>
      <c r="H157" t="s">
        <v>98</v>
      </c>
      <c r="I157" t="s">
        <v>46</v>
      </c>
      <c r="J157" t="s">
        <v>47</v>
      </c>
      <c r="K157" t="s">
        <v>46</v>
      </c>
      <c r="L157" t="s">
        <v>29</v>
      </c>
      <c r="M157">
        <v>1</v>
      </c>
      <c r="N157">
        <v>2125</v>
      </c>
      <c r="O157">
        <v>10</v>
      </c>
      <c r="P157">
        <v>212.5</v>
      </c>
      <c r="Q157">
        <v>1912.5</v>
      </c>
      <c r="R157">
        <v>1370.46</v>
      </c>
      <c r="S157">
        <v>542.04</v>
      </c>
      <c r="T157" t="s">
        <v>30</v>
      </c>
      <c r="U157" t="s">
        <v>90</v>
      </c>
    </row>
    <row r="158" spans="1:21" x14ac:dyDescent="0.3">
      <c r="A158" t="s">
        <v>385</v>
      </c>
      <c r="B158" s="2">
        <v>45918</v>
      </c>
      <c r="C158" t="s">
        <v>386</v>
      </c>
      <c r="D158" t="s">
        <v>121</v>
      </c>
      <c r="E158" t="s">
        <v>35</v>
      </c>
      <c r="F158">
        <v>33</v>
      </c>
      <c r="G158" t="s">
        <v>72</v>
      </c>
      <c r="H158" t="s">
        <v>73</v>
      </c>
      <c r="I158" t="s">
        <v>53</v>
      </c>
      <c r="J158" t="s">
        <v>47</v>
      </c>
      <c r="K158" t="s">
        <v>53</v>
      </c>
      <c r="L158" t="s">
        <v>151</v>
      </c>
      <c r="M158">
        <v>2</v>
      </c>
      <c r="N158">
        <v>37570</v>
      </c>
      <c r="O158">
        <v>0</v>
      </c>
      <c r="P158">
        <v>0</v>
      </c>
      <c r="Q158">
        <v>75140</v>
      </c>
      <c r="R158">
        <v>53003.46</v>
      </c>
      <c r="S158">
        <v>22136.54</v>
      </c>
      <c r="T158" t="s">
        <v>30</v>
      </c>
      <c r="U158" t="s">
        <v>31</v>
      </c>
    </row>
    <row r="159" spans="1:21" x14ac:dyDescent="0.3">
      <c r="A159" t="s">
        <v>387</v>
      </c>
      <c r="B159" s="2">
        <v>45919</v>
      </c>
      <c r="C159" t="s">
        <v>388</v>
      </c>
      <c r="D159" t="s">
        <v>43</v>
      </c>
      <c r="E159" t="s">
        <v>35</v>
      </c>
      <c r="F159">
        <v>58</v>
      </c>
      <c r="G159" t="s">
        <v>25</v>
      </c>
      <c r="H159" t="s">
        <v>26</v>
      </c>
      <c r="I159" t="s">
        <v>63</v>
      </c>
      <c r="J159" t="s">
        <v>47</v>
      </c>
      <c r="K159" t="s">
        <v>63</v>
      </c>
      <c r="L159" t="s">
        <v>29</v>
      </c>
      <c r="M159">
        <v>4</v>
      </c>
      <c r="N159">
        <v>44992</v>
      </c>
      <c r="O159">
        <v>0</v>
      </c>
      <c r="P159">
        <v>0</v>
      </c>
      <c r="Q159">
        <v>179968</v>
      </c>
      <c r="R159">
        <v>126008.31</v>
      </c>
      <c r="S159">
        <v>53959.69</v>
      </c>
      <c r="T159" t="s">
        <v>95</v>
      </c>
      <c r="U159" t="s">
        <v>31</v>
      </c>
    </row>
    <row r="160" spans="1:21" x14ac:dyDescent="0.3">
      <c r="A160" t="s">
        <v>389</v>
      </c>
      <c r="B160" s="2">
        <v>45920</v>
      </c>
      <c r="C160" t="s">
        <v>390</v>
      </c>
      <c r="D160" t="s">
        <v>133</v>
      </c>
      <c r="E160" t="s">
        <v>24</v>
      </c>
      <c r="F160">
        <v>28</v>
      </c>
      <c r="G160" t="s">
        <v>101</v>
      </c>
      <c r="H160" t="s">
        <v>102</v>
      </c>
      <c r="I160" t="s">
        <v>46</v>
      </c>
      <c r="J160" t="s">
        <v>47</v>
      </c>
      <c r="K160" t="s">
        <v>46</v>
      </c>
      <c r="L160" t="s">
        <v>89</v>
      </c>
      <c r="M160">
        <v>1</v>
      </c>
      <c r="N160">
        <v>26436</v>
      </c>
      <c r="O160">
        <v>20</v>
      </c>
      <c r="P160">
        <v>5287.2</v>
      </c>
      <c r="Q160">
        <v>21148.799999999999</v>
      </c>
      <c r="R160">
        <v>17323.95</v>
      </c>
      <c r="S160">
        <v>3824.85</v>
      </c>
      <c r="T160" t="s">
        <v>30</v>
      </c>
      <c r="U160" t="s">
        <v>31</v>
      </c>
    </row>
    <row r="161" spans="1:21" x14ac:dyDescent="0.3">
      <c r="A161" t="s">
        <v>391</v>
      </c>
      <c r="B161" s="2">
        <v>45921</v>
      </c>
      <c r="C161" t="s">
        <v>392</v>
      </c>
      <c r="D161" t="s">
        <v>167</v>
      </c>
      <c r="E161" t="s">
        <v>24</v>
      </c>
      <c r="F161">
        <v>25</v>
      </c>
      <c r="G161" t="s">
        <v>25</v>
      </c>
      <c r="H161" t="s">
        <v>26</v>
      </c>
      <c r="I161" t="s">
        <v>63</v>
      </c>
      <c r="J161" t="s">
        <v>47</v>
      </c>
      <c r="K161" t="s">
        <v>63</v>
      </c>
      <c r="L161" t="s">
        <v>29</v>
      </c>
      <c r="M161">
        <v>5</v>
      </c>
      <c r="N161">
        <v>30941</v>
      </c>
      <c r="O161">
        <v>0</v>
      </c>
      <c r="P161">
        <v>0</v>
      </c>
      <c r="Q161">
        <v>154705</v>
      </c>
      <c r="R161">
        <v>117473.64</v>
      </c>
      <c r="S161">
        <v>37231.360000000001</v>
      </c>
      <c r="T161" t="s">
        <v>40</v>
      </c>
      <c r="U161" t="s">
        <v>68</v>
      </c>
    </row>
    <row r="162" spans="1:21" x14ac:dyDescent="0.3">
      <c r="A162" t="s">
        <v>393</v>
      </c>
      <c r="B162" s="2">
        <v>45922</v>
      </c>
      <c r="C162" t="s">
        <v>394</v>
      </c>
      <c r="D162" t="s">
        <v>116</v>
      </c>
      <c r="E162" t="s">
        <v>35</v>
      </c>
      <c r="F162">
        <v>41</v>
      </c>
      <c r="G162" t="s">
        <v>72</v>
      </c>
      <c r="H162" t="s">
        <v>73</v>
      </c>
      <c r="I162" t="s">
        <v>80</v>
      </c>
      <c r="J162" t="s">
        <v>47</v>
      </c>
      <c r="K162" t="s">
        <v>80</v>
      </c>
      <c r="L162" t="s">
        <v>89</v>
      </c>
      <c r="M162">
        <v>3</v>
      </c>
      <c r="N162">
        <v>59586</v>
      </c>
      <c r="O162">
        <v>10</v>
      </c>
      <c r="P162">
        <v>17875.8</v>
      </c>
      <c r="Q162">
        <v>160882.20000000001</v>
      </c>
      <c r="R162">
        <v>111183.05</v>
      </c>
      <c r="S162">
        <v>49699.15</v>
      </c>
      <c r="T162" t="s">
        <v>30</v>
      </c>
      <c r="U162" t="s">
        <v>90</v>
      </c>
    </row>
    <row r="163" spans="1:21" x14ac:dyDescent="0.3">
      <c r="A163" t="s">
        <v>395</v>
      </c>
      <c r="B163" s="2">
        <v>45923</v>
      </c>
      <c r="C163" t="s">
        <v>396</v>
      </c>
      <c r="D163" t="s">
        <v>133</v>
      </c>
      <c r="E163" t="s">
        <v>35</v>
      </c>
      <c r="F163">
        <v>48</v>
      </c>
      <c r="G163" t="s">
        <v>87</v>
      </c>
      <c r="H163" t="s">
        <v>88</v>
      </c>
      <c r="I163" t="s">
        <v>67</v>
      </c>
      <c r="J163" t="s">
        <v>47</v>
      </c>
      <c r="K163" t="s">
        <v>67</v>
      </c>
      <c r="L163" t="s">
        <v>168</v>
      </c>
      <c r="M163">
        <v>1</v>
      </c>
      <c r="N163">
        <v>34148</v>
      </c>
      <c r="O163">
        <v>20</v>
      </c>
      <c r="P163">
        <v>6829.6</v>
      </c>
      <c r="Q163">
        <v>27318.400000000001</v>
      </c>
      <c r="R163">
        <v>15951.83</v>
      </c>
      <c r="S163">
        <v>11366.57</v>
      </c>
      <c r="T163" t="s">
        <v>64</v>
      </c>
      <c r="U163" t="s">
        <v>49</v>
      </c>
    </row>
    <row r="164" spans="1:21" x14ac:dyDescent="0.3">
      <c r="A164" t="s">
        <v>397</v>
      </c>
      <c r="B164" s="2">
        <v>45924</v>
      </c>
      <c r="C164" t="s">
        <v>398</v>
      </c>
      <c r="D164" t="s">
        <v>128</v>
      </c>
      <c r="E164" t="s">
        <v>35</v>
      </c>
      <c r="F164">
        <v>30</v>
      </c>
      <c r="G164" t="s">
        <v>59</v>
      </c>
      <c r="H164" t="s">
        <v>60</v>
      </c>
      <c r="I164" t="s">
        <v>63</v>
      </c>
      <c r="J164" t="s">
        <v>47</v>
      </c>
      <c r="K164" t="s">
        <v>63</v>
      </c>
      <c r="L164" t="s">
        <v>81</v>
      </c>
      <c r="M164">
        <v>4</v>
      </c>
      <c r="N164">
        <v>54401</v>
      </c>
      <c r="O164">
        <v>20</v>
      </c>
      <c r="P164">
        <v>43520.800000000003</v>
      </c>
      <c r="Q164">
        <v>174083.20000000001</v>
      </c>
      <c r="R164">
        <v>99701.32</v>
      </c>
      <c r="S164">
        <v>74381.88</v>
      </c>
      <c r="T164" t="s">
        <v>64</v>
      </c>
      <c r="U164" t="s">
        <v>90</v>
      </c>
    </row>
    <row r="165" spans="1:21" x14ac:dyDescent="0.3">
      <c r="A165" t="s">
        <v>399</v>
      </c>
      <c r="B165" s="2">
        <v>45925</v>
      </c>
      <c r="C165" t="s">
        <v>400</v>
      </c>
      <c r="D165" t="s">
        <v>76</v>
      </c>
      <c r="E165" t="s">
        <v>35</v>
      </c>
      <c r="F165">
        <v>42</v>
      </c>
      <c r="G165" t="s">
        <v>25</v>
      </c>
      <c r="H165" t="s">
        <v>26</v>
      </c>
      <c r="I165" t="s">
        <v>80</v>
      </c>
      <c r="J165" t="s">
        <v>47</v>
      </c>
      <c r="K165" t="s">
        <v>80</v>
      </c>
      <c r="L165" t="s">
        <v>54</v>
      </c>
      <c r="M165">
        <v>5</v>
      </c>
      <c r="N165">
        <v>50319</v>
      </c>
      <c r="O165">
        <v>10</v>
      </c>
      <c r="P165">
        <v>25159.5</v>
      </c>
      <c r="Q165">
        <v>226435.5</v>
      </c>
      <c r="R165">
        <v>174817.21</v>
      </c>
      <c r="S165">
        <v>51618.29</v>
      </c>
      <c r="T165" t="s">
        <v>64</v>
      </c>
      <c r="U165" t="s">
        <v>49</v>
      </c>
    </row>
    <row r="166" spans="1:21" x14ac:dyDescent="0.3">
      <c r="A166" t="s">
        <v>401</v>
      </c>
      <c r="B166" s="2">
        <v>45926</v>
      </c>
      <c r="C166" t="s">
        <v>402</v>
      </c>
      <c r="D166" t="s">
        <v>76</v>
      </c>
      <c r="E166" t="s">
        <v>35</v>
      </c>
      <c r="F166">
        <v>42</v>
      </c>
      <c r="G166" t="s">
        <v>36</v>
      </c>
      <c r="H166" t="s">
        <v>37</v>
      </c>
      <c r="I166" t="s">
        <v>46</v>
      </c>
      <c r="J166" t="s">
        <v>47</v>
      </c>
      <c r="K166" t="s">
        <v>46</v>
      </c>
      <c r="L166" t="s">
        <v>29</v>
      </c>
      <c r="M166">
        <v>1</v>
      </c>
      <c r="N166">
        <v>3612</v>
      </c>
      <c r="O166">
        <v>10</v>
      </c>
      <c r="P166">
        <v>361.2</v>
      </c>
      <c r="Q166">
        <v>3250.8</v>
      </c>
      <c r="R166">
        <v>2429.15</v>
      </c>
      <c r="S166">
        <v>821.65</v>
      </c>
      <c r="T166" t="s">
        <v>40</v>
      </c>
      <c r="U166" t="s">
        <v>90</v>
      </c>
    </row>
    <row r="167" spans="1:21" x14ac:dyDescent="0.3">
      <c r="A167" t="s">
        <v>403</v>
      </c>
      <c r="B167" s="2">
        <v>45927</v>
      </c>
      <c r="C167" t="s">
        <v>404</v>
      </c>
      <c r="D167" t="s">
        <v>76</v>
      </c>
      <c r="E167" t="s">
        <v>35</v>
      </c>
      <c r="F167">
        <v>55</v>
      </c>
      <c r="G167" t="s">
        <v>87</v>
      </c>
      <c r="H167" t="s">
        <v>88</v>
      </c>
      <c r="I167" t="s">
        <v>27</v>
      </c>
      <c r="J167" t="s">
        <v>28</v>
      </c>
      <c r="K167" t="s">
        <v>27</v>
      </c>
      <c r="L167" t="s">
        <v>29</v>
      </c>
      <c r="M167">
        <v>4</v>
      </c>
      <c r="N167">
        <v>42467</v>
      </c>
      <c r="O167">
        <v>10</v>
      </c>
      <c r="P167">
        <v>16986.8</v>
      </c>
      <c r="Q167">
        <v>152881.20000000001</v>
      </c>
      <c r="R167">
        <v>117065.86</v>
      </c>
      <c r="S167">
        <v>35815.339999999997</v>
      </c>
      <c r="T167" t="s">
        <v>55</v>
      </c>
      <c r="U167" t="s">
        <v>90</v>
      </c>
    </row>
    <row r="168" spans="1:21" x14ac:dyDescent="0.3">
      <c r="A168" t="s">
        <v>405</v>
      </c>
      <c r="B168" s="2">
        <v>45928</v>
      </c>
      <c r="C168" t="s">
        <v>406</v>
      </c>
      <c r="D168" t="s">
        <v>71</v>
      </c>
      <c r="E168" t="s">
        <v>24</v>
      </c>
      <c r="F168">
        <v>50</v>
      </c>
      <c r="G168" t="s">
        <v>101</v>
      </c>
      <c r="H168" t="s">
        <v>102</v>
      </c>
      <c r="I168" t="s">
        <v>38</v>
      </c>
      <c r="J168" t="s">
        <v>39</v>
      </c>
      <c r="K168" t="s">
        <v>38</v>
      </c>
      <c r="L168" t="s">
        <v>151</v>
      </c>
      <c r="M168">
        <v>4</v>
      </c>
      <c r="N168">
        <v>42226</v>
      </c>
      <c r="O168">
        <v>20</v>
      </c>
      <c r="P168">
        <v>33780.800000000003</v>
      </c>
      <c r="Q168">
        <v>135123.20000000001</v>
      </c>
      <c r="R168">
        <v>79844.009999999995</v>
      </c>
      <c r="S168">
        <v>55279.19</v>
      </c>
      <c r="T168" t="s">
        <v>64</v>
      </c>
      <c r="U168" t="s">
        <v>68</v>
      </c>
    </row>
    <row r="169" spans="1:21" x14ac:dyDescent="0.3">
      <c r="A169" t="s">
        <v>407</v>
      </c>
      <c r="B169" s="2">
        <v>45929</v>
      </c>
      <c r="C169" t="s">
        <v>208</v>
      </c>
      <c r="D169" t="s">
        <v>23</v>
      </c>
      <c r="E169" t="s">
        <v>35</v>
      </c>
      <c r="F169">
        <v>33</v>
      </c>
      <c r="G169" t="s">
        <v>87</v>
      </c>
      <c r="H169" t="s">
        <v>88</v>
      </c>
      <c r="I169" t="s">
        <v>38</v>
      </c>
      <c r="J169" t="s">
        <v>39</v>
      </c>
      <c r="K169" t="s">
        <v>38</v>
      </c>
      <c r="L169" t="s">
        <v>81</v>
      </c>
      <c r="M169">
        <v>3</v>
      </c>
      <c r="N169">
        <v>46942</v>
      </c>
      <c r="O169">
        <v>10</v>
      </c>
      <c r="P169">
        <v>14082.6</v>
      </c>
      <c r="Q169">
        <v>126743.4</v>
      </c>
      <c r="R169">
        <v>81207.009999999995</v>
      </c>
      <c r="S169">
        <v>45536.39</v>
      </c>
      <c r="T169" t="s">
        <v>55</v>
      </c>
      <c r="U169" t="s">
        <v>31</v>
      </c>
    </row>
    <row r="170" spans="1:21" x14ac:dyDescent="0.3">
      <c r="A170" t="s">
        <v>408</v>
      </c>
      <c r="B170" s="2">
        <v>45930</v>
      </c>
      <c r="C170" t="s">
        <v>409</v>
      </c>
      <c r="D170" t="s">
        <v>76</v>
      </c>
      <c r="E170" t="s">
        <v>35</v>
      </c>
      <c r="F170">
        <v>36</v>
      </c>
      <c r="G170" t="s">
        <v>87</v>
      </c>
      <c r="H170" t="s">
        <v>88</v>
      </c>
      <c r="I170" t="s">
        <v>38</v>
      </c>
      <c r="J170" t="s">
        <v>39</v>
      </c>
      <c r="K170" t="s">
        <v>38</v>
      </c>
      <c r="L170" t="s">
        <v>48</v>
      </c>
      <c r="M170">
        <v>3</v>
      </c>
      <c r="N170">
        <v>51517</v>
      </c>
      <c r="O170">
        <v>5</v>
      </c>
      <c r="P170">
        <v>7727.55</v>
      </c>
      <c r="Q170">
        <v>146823.45000000001</v>
      </c>
      <c r="R170">
        <v>108284.1</v>
      </c>
      <c r="S170">
        <v>38539.35</v>
      </c>
      <c r="T170" t="s">
        <v>55</v>
      </c>
      <c r="U170" t="s">
        <v>31</v>
      </c>
    </row>
    <row r="171" spans="1:21" x14ac:dyDescent="0.3">
      <c r="A171" t="s">
        <v>410</v>
      </c>
      <c r="B171" s="2">
        <v>45931</v>
      </c>
      <c r="C171" t="s">
        <v>411</v>
      </c>
      <c r="D171" t="s">
        <v>52</v>
      </c>
      <c r="E171" t="s">
        <v>35</v>
      </c>
      <c r="F171">
        <v>50</v>
      </c>
      <c r="G171" t="s">
        <v>59</v>
      </c>
      <c r="H171" t="s">
        <v>60</v>
      </c>
      <c r="I171" t="s">
        <v>27</v>
      </c>
      <c r="J171" t="s">
        <v>28</v>
      </c>
      <c r="K171" t="s">
        <v>27</v>
      </c>
      <c r="L171" t="s">
        <v>81</v>
      </c>
      <c r="M171">
        <v>2</v>
      </c>
      <c r="N171">
        <v>43905</v>
      </c>
      <c r="O171">
        <v>15</v>
      </c>
      <c r="P171">
        <v>13171.5</v>
      </c>
      <c r="Q171">
        <v>74638.5</v>
      </c>
      <c r="R171">
        <v>55374.35</v>
      </c>
      <c r="S171">
        <v>19264.150000000001</v>
      </c>
      <c r="T171" t="s">
        <v>95</v>
      </c>
      <c r="U171" t="s">
        <v>68</v>
      </c>
    </row>
    <row r="172" spans="1:21" x14ac:dyDescent="0.3">
      <c r="A172" t="s">
        <v>412</v>
      </c>
      <c r="B172" s="2">
        <v>45932</v>
      </c>
      <c r="C172" t="s">
        <v>166</v>
      </c>
      <c r="D172" t="s">
        <v>52</v>
      </c>
      <c r="E172" t="s">
        <v>35</v>
      </c>
      <c r="F172">
        <v>34</v>
      </c>
      <c r="G172" t="s">
        <v>87</v>
      </c>
      <c r="H172" t="s">
        <v>88</v>
      </c>
      <c r="I172" t="s">
        <v>27</v>
      </c>
      <c r="J172" t="s">
        <v>28</v>
      </c>
      <c r="K172" t="s">
        <v>27</v>
      </c>
      <c r="L172" t="s">
        <v>168</v>
      </c>
      <c r="M172">
        <v>4</v>
      </c>
      <c r="N172">
        <v>44798</v>
      </c>
      <c r="O172">
        <v>15</v>
      </c>
      <c r="P172">
        <v>26878.799999999999</v>
      </c>
      <c r="Q172">
        <v>152313.20000000001</v>
      </c>
      <c r="R172">
        <v>107152.1</v>
      </c>
      <c r="S172">
        <v>45161.1</v>
      </c>
      <c r="T172" t="s">
        <v>40</v>
      </c>
      <c r="U172" t="s">
        <v>90</v>
      </c>
    </row>
    <row r="173" spans="1:21" x14ac:dyDescent="0.3">
      <c r="A173" t="s">
        <v>413</v>
      </c>
      <c r="B173" s="2">
        <v>45933</v>
      </c>
      <c r="C173" t="s">
        <v>414</v>
      </c>
      <c r="D173" t="s">
        <v>43</v>
      </c>
      <c r="E173" t="s">
        <v>24</v>
      </c>
      <c r="F173">
        <v>39</v>
      </c>
      <c r="G173" t="s">
        <v>146</v>
      </c>
      <c r="H173" t="s">
        <v>60</v>
      </c>
      <c r="I173" t="s">
        <v>27</v>
      </c>
      <c r="J173" t="s">
        <v>28</v>
      </c>
      <c r="K173" t="s">
        <v>27</v>
      </c>
      <c r="L173" t="s">
        <v>168</v>
      </c>
      <c r="M173">
        <v>3</v>
      </c>
      <c r="N173">
        <v>42040</v>
      </c>
      <c r="O173">
        <v>20</v>
      </c>
      <c r="P173">
        <v>25224</v>
      </c>
      <c r="Q173">
        <v>100896</v>
      </c>
      <c r="R173">
        <v>78268.55</v>
      </c>
      <c r="S173">
        <v>22627.45</v>
      </c>
      <c r="T173" t="s">
        <v>40</v>
      </c>
      <c r="U173" t="s">
        <v>31</v>
      </c>
    </row>
    <row r="174" spans="1:21" x14ac:dyDescent="0.3">
      <c r="A174" t="s">
        <v>415</v>
      </c>
      <c r="B174" s="2">
        <v>45934</v>
      </c>
      <c r="C174" t="s">
        <v>416</v>
      </c>
      <c r="D174" t="s">
        <v>23</v>
      </c>
      <c r="E174" t="s">
        <v>35</v>
      </c>
      <c r="F174">
        <v>28</v>
      </c>
      <c r="G174" t="s">
        <v>25</v>
      </c>
      <c r="H174" t="s">
        <v>26</v>
      </c>
      <c r="I174" t="s">
        <v>63</v>
      </c>
      <c r="J174" t="s">
        <v>47</v>
      </c>
      <c r="K174" t="s">
        <v>63</v>
      </c>
      <c r="L174" t="s">
        <v>151</v>
      </c>
      <c r="M174">
        <v>5</v>
      </c>
      <c r="N174">
        <v>43083</v>
      </c>
      <c r="O174">
        <v>10</v>
      </c>
      <c r="P174">
        <v>21541.5</v>
      </c>
      <c r="Q174">
        <v>193873.5</v>
      </c>
      <c r="R174">
        <v>155710.13</v>
      </c>
      <c r="S174">
        <v>38163.370000000003</v>
      </c>
      <c r="T174" t="s">
        <v>64</v>
      </c>
      <c r="U174" t="s">
        <v>31</v>
      </c>
    </row>
    <row r="175" spans="1:21" x14ac:dyDescent="0.3">
      <c r="A175" t="s">
        <v>417</v>
      </c>
      <c r="B175" s="2">
        <v>45935</v>
      </c>
      <c r="C175" t="s">
        <v>418</v>
      </c>
      <c r="D175" t="s">
        <v>133</v>
      </c>
      <c r="E175" t="s">
        <v>24</v>
      </c>
      <c r="F175">
        <v>32</v>
      </c>
      <c r="G175" t="s">
        <v>98</v>
      </c>
      <c r="H175" t="s">
        <v>98</v>
      </c>
      <c r="I175" t="s">
        <v>53</v>
      </c>
      <c r="J175" t="s">
        <v>47</v>
      </c>
      <c r="K175" t="s">
        <v>53</v>
      </c>
      <c r="L175" t="s">
        <v>54</v>
      </c>
      <c r="M175">
        <v>5</v>
      </c>
      <c r="N175">
        <v>34296</v>
      </c>
      <c r="O175">
        <v>0</v>
      </c>
      <c r="P175">
        <v>0</v>
      </c>
      <c r="Q175">
        <v>171480</v>
      </c>
      <c r="R175">
        <v>107398.78</v>
      </c>
      <c r="S175">
        <v>64081.22</v>
      </c>
      <c r="T175" t="s">
        <v>40</v>
      </c>
      <c r="U175" t="s">
        <v>31</v>
      </c>
    </row>
    <row r="176" spans="1:21" x14ac:dyDescent="0.3">
      <c r="A176" t="s">
        <v>419</v>
      </c>
      <c r="B176" s="2">
        <v>45936</v>
      </c>
      <c r="C176" t="s">
        <v>182</v>
      </c>
      <c r="D176" t="s">
        <v>43</v>
      </c>
      <c r="E176" t="s">
        <v>35</v>
      </c>
      <c r="F176">
        <v>41</v>
      </c>
      <c r="G176" t="s">
        <v>98</v>
      </c>
      <c r="H176" t="s">
        <v>98</v>
      </c>
      <c r="I176" t="s">
        <v>46</v>
      </c>
      <c r="J176" t="s">
        <v>47</v>
      </c>
      <c r="K176" t="s">
        <v>46</v>
      </c>
      <c r="L176" t="s">
        <v>29</v>
      </c>
      <c r="M176">
        <v>4</v>
      </c>
      <c r="N176">
        <v>40668</v>
      </c>
      <c r="O176">
        <v>20</v>
      </c>
      <c r="P176">
        <v>32534.400000000001</v>
      </c>
      <c r="Q176">
        <v>130137.60000000001</v>
      </c>
      <c r="R176">
        <v>78827.259999999995</v>
      </c>
      <c r="S176">
        <v>51310.34</v>
      </c>
      <c r="T176" t="s">
        <v>30</v>
      </c>
      <c r="U176" t="s">
        <v>31</v>
      </c>
    </row>
    <row r="177" spans="1:21" x14ac:dyDescent="0.3">
      <c r="A177" t="s">
        <v>420</v>
      </c>
      <c r="B177" s="2">
        <v>45937</v>
      </c>
      <c r="C177" t="s">
        <v>421</v>
      </c>
      <c r="D177" t="s">
        <v>116</v>
      </c>
      <c r="E177" t="s">
        <v>24</v>
      </c>
      <c r="F177">
        <v>35</v>
      </c>
      <c r="G177" t="s">
        <v>44</v>
      </c>
      <c r="H177" t="s">
        <v>45</v>
      </c>
      <c r="I177" t="s">
        <v>38</v>
      </c>
      <c r="J177" t="s">
        <v>39</v>
      </c>
      <c r="K177" t="s">
        <v>38</v>
      </c>
      <c r="L177" t="s">
        <v>168</v>
      </c>
      <c r="M177">
        <v>2</v>
      </c>
      <c r="N177">
        <v>39418</v>
      </c>
      <c r="O177">
        <v>10</v>
      </c>
      <c r="P177">
        <v>7883.6</v>
      </c>
      <c r="Q177">
        <v>70952.399999999994</v>
      </c>
      <c r="R177">
        <v>50820.19</v>
      </c>
      <c r="S177">
        <v>20132.21</v>
      </c>
      <c r="T177" t="s">
        <v>95</v>
      </c>
      <c r="U177" t="s">
        <v>90</v>
      </c>
    </row>
    <row r="178" spans="1:21" x14ac:dyDescent="0.3">
      <c r="A178" t="s">
        <v>422</v>
      </c>
      <c r="B178" s="2">
        <v>45938</v>
      </c>
      <c r="C178" t="s">
        <v>370</v>
      </c>
      <c r="D178" t="s">
        <v>76</v>
      </c>
      <c r="E178" t="s">
        <v>35</v>
      </c>
      <c r="F178">
        <v>57</v>
      </c>
      <c r="G178" t="s">
        <v>101</v>
      </c>
      <c r="H178" t="s">
        <v>102</v>
      </c>
      <c r="I178" t="s">
        <v>63</v>
      </c>
      <c r="J178" t="s">
        <v>47</v>
      </c>
      <c r="K178" t="s">
        <v>63</v>
      </c>
      <c r="L178" t="s">
        <v>168</v>
      </c>
      <c r="M178">
        <v>3</v>
      </c>
      <c r="N178">
        <v>44694</v>
      </c>
      <c r="O178">
        <v>0</v>
      </c>
      <c r="P178">
        <v>0</v>
      </c>
      <c r="Q178">
        <v>134082</v>
      </c>
      <c r="R178">
        <v>78637.61</v>
      </c>
      <c r="S178">
        <v>55444.39</v>
      </c>
      <c r="T178" t="s">
        <v>95</v>
      </c>
      <c r="U178" t="s">
        <v>49</v>
      </c>
    </row>
    <row r="179" spans="1:21" x14ac:dyDescent="0.3">
      <c r="A179" t="s">
        <v>423</v>
      </c>
      <c r="B179" s="2">
        <v>45939</v>
      </c>
      <c r="C179" t="s">
        <v>424</v>
      </c>
      <c r="D179" t="s">
        <v>79</v>
      </c>
      <c r="E179" t="s">
        <v>24</v>
      </c>
      <c r="F179">
        <v>32</v>
      </c>
      <c r="G179" t="s">
        <v>36</v>
      </c>
      <c r="H179" t="s">
        <v>37</v>
      </c>
      <c r="I179" t="s">
        <v>53</v>
      </c>
      <c r="J179" t="s">
        <v>47</v>
      </c>
      <c r="K179" t="s">
        <v>53</v>
      </c>
      <c r="L179" t="s">
        <v>48</v>
      </c>
      <c r="M179">
        <v>3</v>
      </c>
      <c r="N179">
        <v>42138</v>
      </c>
      <c r="O179">
        <v>0</v>
      </c>
      <c r="P179">
        <v>0</v>
      </c>
      <c r="Q179">
        <v>126414</v>
      </c>
      <c r="R179">
        <v>81877.75</v>
      </c>
      <c r="S179">
        <v>44536.25</v>
      </c>
      <c r="T179" t="s">
        <v>55</v>
      </c>
      <c r="U179" t="s">
        <v>31</v>
      </c>
    </row>
    <row r="180" spans="1:21" x14ac:dyDescent="0.3">
      <c r="A180" t="s">
        <v>425</v>
      </c>
      <c r="B180" s="2">
        <v>45940</v>
      </c>
      <c r="C180" t="s">
        <v>426</v>
      </c>
      <c r="D180" t="s">
        <v>128</v>
      </c>
      <c r="E180" t="s">
        <v>24</v>
      </c>
      <c r="F180">
        <v>37</v>
      </c>
      <c r="G180" t="s">
        <v>72</v>
      </c>
      <c r="H180" t="s">
        <v>73</v>
      </c>
      <c r="I180" t="s">
        <v>63</v>
      </c>
      <c r="J180" t="s">
        <v>47</v>
      </c>
      <c r="K180" t="s">
        <v>63</v>
      </c>
      <c r="L180" t="s">
        <v>105</v>
      </c>
      <c r="M180">
        <v>2</v>
      </c>
      <c r="N180">
        <v>18823</v>
      </c>
      <c r="O180">
        <v>20</v>
      </c>
      <c r="P180">
        <v>7529.2</v>
      </c>
      <c r="Q180">
        <v>30116.799999999999</v>
      </c>
      <c r="R180">
        <v>17960.150000000001</v>
      </c>
      <c r="S180">
        <v>12156.65</v>
      </c>
      <c r="T180" t="s">
        <v>30</v>
      </c>
      <c r="U180" t="s">
        <v>31</v>
      </c>
    </row>
    <row r="181" spans="1:21" x14ac:dyDescent="0.3">
      <c r="A181" t="s">
        <v>427</v>
      </c>
      <c r="B181" s="2">
        <v>45941</v>
      </c>
      <c r="C181" t="s">
        <v>428</v>
      </c>
      <c r="D181" t="s">
        <v>71</v>
      </c>
      <c r="E181" t="s">
        <v>35</v>
      </c>
      <c r="F181">
        <v>59</v>
      </c>
      <c r="G181" t="s">
        <v>146</v>
      </c>
      <c r="H181" t="s">
        <v>60</v>
      </c>
      <c r="I181" t="s">
        <v>27</v>
      </c>
      <c r="J181" t="s">
        <v>28</v>
      </c>
      <c r="K181" t="s">
        <v>27</v>
      </c>
      <c r="L181" t="s">
        <v>29</v>
      </c>
      <c r="M181">
        <v>1</v>
      </c>
      <c r="N181">
        <v>26560</v>
      </c>
      <c r="O181">
        <v>10</v>
      </c>
      <c r="P181">
        <v>2656</v>
      </c>
      <c r="Q181">
        <v>23904</v>
      </c>
      <c r="R181">
        <v>15233.19</v>
      </c>
      <c r="S181">
        <v>8670.81</v>
      </c>
      <c r="T181" t="s">
        <v>30</v>
      </c>
      <c r="U181" t="s">
        <v>31</v>
      </c>
    </row>
    <row r="182" spans="1:21" x14ac:dyDescent="0.3">
      <c r="A182" t="s">
        <v>429</v>
      </c>
      <c r="B182" s="2">
        <v>45942</v>
      </c>
      <c r="C182" t="s">
        <v>430</v>
      </c>
      <c r="D182" t="s">
        <v>93</v>
      </c>
      <c r="E182" t="s">
        <v>24</v>
      </c>
      <c r="F182">
        <v>26</v>
      </c>
      <c r="G182" t="s">
        <v>98</v>
      </c>
      <c r="H182" t="s">
        <v>98</v>
      </c>
      <c r="I182" t="s">
        <v>53</v>
      </c>
      <c r="J182" t="s">
        <v>47</v>
      </c>
      <c r="K182" t="s">
        <v>53</v>
      </c>
      <c r="L182" t="s">
        <v>151</v>
      </c>
      <c r="M182">
        <v>1</v>
      </c>
      <c r="N182">
        <v>48193</v>
      </c>
      <c r="O182">
        <v>0</v>
      </c>
      <c r="P182">
        <v>0</v>
      </c>
      <c r="Q182">
        <v>48193</v>
      </c>
      <c r="R182">
        <v>28813.64</v>
      </c>
      <c r="S182">
        <v>19379.36</v>
      </c>
      <c r="T182" t="s">
        <v>55</v>
      </c>
      <c r="U182" t="s">
        <v>31</v>
      </c>
    </row>
    <row r="183" spans="1:21" x14ac:dyDescent="0.3">
      <c r="A183" t="s">
        <v>431</v>
      </c>
      <c r="B183" s="2">
        <v>45943</v>
      </c>
      <c r="C183" t="s">
        <v>132</v>
      </c>
      <c r="D183" t="s">
        <v>79</v>
      </c>
      <c r="E183" t="s">
        <v>24</v>
      </c>
      <c r="F183">
        <v>54</v>
      </c>
      <c r="G183" t="s">
        <v>25</v>
      </c>
      <c r="H183" t="s">
        <v>26</v>
      </c>
      <c r="I183" t="s">
        <v>27</v>
      </c>
      <c r="J183" t="s">
        <v>28</v>
      </c>
      <c r="K183" t="s">
        <v>27</v>
      </c>
      <c r="L183" t="s">
        <v>48</v>
      </c>
      <c r="M183">
        <v>2</v>
      </c>
      <c r="N183">
        <v>27645</v>
      </c>
      <c r="O183">
        <v>15</v>
      </c>
      <c r="P183">
        <v>8293.5</v>
      </c>
      <c r="Q183">
        <v>46996.5</v>
      </c>
      <c r="R183">
        <v>31879.42</v>
      </c>
      <c r="S183">
        <v>15117.08</v>
      </c>
      <c r="T183" t="s">
        <v>64</v>
      </c>
      <c r="U183" t="s">
        <v>31</v>
      </c>
    </row>
    <row r="184" spans="1:21" x14ac:dyDescent="0.3">
      <c r="A184" t="s">
        <v>432</v>
      </c>
      <c r="B184" s="2">
        <v>45944</v>
      </c>
      <c r="C184" t="s">
        <v>433</v>
      </c>
      <c r="D184" t="s">
        <v>167</v>
      </c>
      <c r="E184" t="s">
        <v>35</v>
      </c>
      <c r="F184">
        <v>40</v>
      </c>
      <c r="G184" t="s">
        <v>72</v>
      </c>
      <c r="H184" t="s">
        <v>73</v>
      </c>
      <c r="I184" t="s">
        <v>63</v>
      </c>
      <c r="J184" t="s">
        <v>47</v>
      </c>
      <c r="K184" t="s">
        <v>63</v>
      </c>
      <c r="L184" t="s">
        <v>48</v>
      </c>
      <c r="M184">
        <v>3</v>
      </c>
      <c r="N184">
        <v>17306</v>
      </c>
      <c r="O184">
        <v>20</v>
      </c>
      <c r="P184">
        <v>10383.6</v>
      </c>
      <c r="Q184">
        <v>41534.400000000001</v>
      </c>
      <c r="R184">
        <v>26755.93</v>
      </c>
      <c r="S184">
        <v>14778.47</v>
      </c>
      <c r="T184" t="s">
        <v>95</v>
      </c>
      <c r="U184" t="s">
        <v>90</v>
      </c>
    </row>
    <row r="185" spans="1:21" x14ac:dyDescent="0.3">
      <c r="A185" t="s">
        <v>434</v>
      </c>
      <c r="B185" s="2">
        <v>45945</v>
      </c>
      <c r="C185" t="s">
        <v>274</v>
      </c>
      <c r="D185" t="s">
        <v>116</v>
      </c>
      <c r="E185" t="s">
        <v>35</v>
      </c>
      <c r="F185">
        <v>60</v>
      </c>
      <c r="G185" t="s">
        <v>101</v>
      </c>
      <c r="H185" t="s">
        <v>102</v>
      </c>
      <c r="I185" t="s">
        <v>46</v>
      </c>
      <c r="J185" t="s">
        <v>47</v>
      </c>
      <c r="K185" t="s">
        <v>46</v>
      </c>
      <c r="L185" t="s">
        <v>151</v>
      </c>
      <c r="M185">
        <v>5</v>
      </c>
      <c r="N185">
        <v>43070</v>
      </c>
      <c r="O185">
        <v>10</v>
      </c>
      <c r="P185">
        <v>21535</v>
      </c>
      <c r="Q185">
        <v>193815</v>
      </c>
      <c r="R185">
        <v>150905.31</v>
      </c>
      <c r="S185">
        <v>42909.69</v>
      </c>
      <c r="T185" t="s">
        <v>30</v>
      </c>
      <c r="U185" t="s">
        <v>31</v>
      </c>
    </row>
    <row r="186" spans="1:21" x14ac:dyDescent="0.3">
      <c r="A186" t="s">
        <v>435</v>
      </c>
      <c r="B186" s="2">
        <v>45946</v>
      </c>
      <c r="C186" t="s">
        <v>436</v>
      </c>
      <c r="D186" t="s">
        <v>71</v>
      </c>
      <c r="E186" t="s">
        <v>35</v>
      </c>
      <c r="F186">
        <v>23</v>
      </c>
      <c r="G186" t="s">
        <v>36</v>
      </c>
      <c r="H186" t="s">
        <v>37</v>
      </c>
      <c r="I186" t="s">
        <v>67</v>
      </c>
      <c r="J186" t="s">
        <v>47</v>
      </c>
      <c r="K186" t="s">
        <v>67</v>
      </c>
      <c r="L186" t="s">
        <v>168</v>
      </c>
      <c r="M186">
        <v>1</v>
      </c>
      <c r="N186">
        <v>23397</v>
      </c>
      <c r="O186">
        <v>10</v>
      </c>
      <c r="P186">
        <v>2339.6999999999998</v>
      </c>
      <c r="Q186">
        <v>21057.3</v>
      </c>
      <c r="R186">
        <v>17850.71</v>
      </c>
      <c r="S186">
        <v>3206.59</v>
      </c>
      <c r="T186" t="s">
        <v>40</v>
      </c>
      <c r="U186" t="s">
        <v>68</v>
      </c>
    </row>
    <row r="187" spans="1:21" x14ac:dyDescent="0.3">
      <c r="A187" t="s">
        <v>437</v>
      </c>
      <c r="B187" s="2">
        <v>45947</v>
      </c>
      <c r="C187" t="s">
        <v>438</v>
      </c>
      <c r="D187" t="s">
        <v>79</v>
      </c>
      <c r="E187" t="s">
        <v>35</v>
      </c>
      <c r="F187">
        <v>26</v>
      </c>
      <c r="G187" t="s">
        <v>146</v>
      </c>
      <c r="H187" t="s">
        <v>60</v>
      </c>
      <c r="I187" t="s">
        <v>46</v>
      </c>
      <c r="J187" t="s">
        <v>47</v>
      </c>
      <c r="K187" t="s">
        <v>46</v>
      </c>
      <c r="L187" t="s">
        <v>54</v>
      </c>
      <c r="M187">
        <v>5</v>
      </c>
      <c r="N187">
        <v>10591</v>
      </c>
      <c r="O187">
        <v>0</v>
      </c>
      <c r="P187">
        <v>0</v>
      </c>
      <c r="Q187">
        <v>52955</v>
      </c>
      <c r="R187">
        <v>33601.19</v>
      </c>
      <c r="S187">
        <v>19353.810000000001</v>
      </c>
      <c r="T187" t="s">
        <v>64</v>
      </c>
      <c r="U187" t="s">
        <v>31</v>
      </c>
    </row>
    <row r="188" spans="1:21" x14ac:dyDescent="0.3">
      <c r="A188" t="s">
        <v>439</v>
      </c>
      <c r="B188" s="2">
        <v>45948</v>
      </c>
      <c r="C188" t="s">
        <v>440</v>
      </c>
      <c r="D188" t="s">
        <v>93</v>
      </c>
      <c r="E188" t="s">
        <v>35</v>
      </c>
      <c r="F188">
        <v>50</v>
      </c>
      <c r="G188" t="s">
        <v>98</v>
      </c>
      <c r="H188" t="s">
        <v>98</v>
      </c>
      <c r="I188" t="s">
        <v>53</v>
      </c>
      <c r="J188" t="s">
        <v>47</v>
      </c>
      <c r="K188" t="s">
        <v>53</v>
      </c>
      <c r="L188" t="s">
        <v>29</v>
      </c>
      <c r="M188">
        <v>2</v>
      </c>
      <c r="N188">
        <v>30125</v>
      </c>
      <c r="O188">
        <v>5</v>
      </c>
      <c r="P188">
        <v>3012.5</v>
      </c>
      <c r="Q188">
        <v>57237.5</v>
      </c>
      <c r="R188">
        <v>48395.15</v>
      </c>
      <c r="S188">
        <v>8842.35</v>
      </c>
      <c r="T188" t="s">
        <v>95</v>
      </c>
      <c r="U188" t="s">
        <v>68</v>
      </c>
    </row>
    <row r="189" spans="1:21" x14ac:dyDescent="0.3">
      <c r="A189" t="s">
        <v>441</v>
      </c>
      <c r="B189" s="2">
        <v>45949</v>
      </c>
      <c r="C189" t="s">
        <v>351</v>
      </c>
      <c r="D189" t="s">
        <v>167</v>
      </c>
      <c r="E189" t="s">
        <v>24</v>
      </c>
      <c r="F189">
        <v>41</v>
      </c>
      <c r="G189" t="s">
        <v>98</v>
      </c>
      <c r="H189" t="s">
        <v>98</v>
      </c>
      <c r="I189" t="s">
        <v>63</v>
      </c>
      <c r="J189" t="s">
        <v>47</v>
      </c>
      <c r="K189" t="s">
        <v>63</v>
      </c>
      <c r="L189" t="s">
        <v>29</v>
      </c>
      <c r="M189">
        <v>2</v>
      </c>
      <c r="N189">
        <v>54677</v>
      </c>
      <c r="O189">
        <v>5</v>
      </c>
      <c r="P189">
        <v>5467.7</v>
      </c>
      <c r="Q189">
        <v>103886.3</v>
      </c>
      <c r="R189">
        <v>85971.31</v>
      </c>
      <c r="S189">
        <v>17914.990000000002</v>
      </c>
      <c r="T189" t="s">
        <v>40</v>
      </c>
      <c r="U189" t="s">
        <v>31</v>
      </c>
    </row>
    <row r="190" spans="1:21" x14ac:dyDescent="0.3">
      <c r="A190" t="s">
        <v>442</v>
      </c>
      <c r="B190" s="2">
        <v>45950</v>
      </c>
      <c r="C190" t="s">
        <v>443</v>
      </c>
      <c r="D190" t="s">
        <v>116</v>
      </c>
      <c r="E190" t="s">
        <v>35</v>
      </c>
      <c r="F190">
        <v>50</v>
      </c>
      <c r="G190" t="s">
        <v>36</v>
      </c>
      <c r="H190" t="s">
        <v>37</v>
      </c>
      <c r="I190" t="s">
        <v>46</v>
      </c>
      <c r="J190" t="s">
        <v>47</v>
      </c>
      <c r="K190" t="s">
        <v>46</v>
      </c>
      <c r="L190" t="s">
        <v>48</v>
      </c>
      <c r="M190">
        <v>3</v>
      </c>
      <c r="N190">
        <v>40865</v>
      </c>
      <c r="O190">
        <v>20</v>
      </c>
      <c r="P190">
        <v>24519</v>
      </c>
      <c r="Q190">
        <v>98076</v>
      </c>
      <c r="R190">
        <v>80417.61</v>
      </c>
      <c r="S190">
        <v>17658.39</v>
      </c>
      <c r="T190" t="s">
        <v>40</v>
      </c>
      <c r="U190" t="s">
        <v>68</v>
      </c>
    </row>
    <row r="191" spans="1:21" x14ac:dyDescent="0.3">
      <c r="A191" t="s">
        <v>444</v>
      </c>
      <c r="B191" s="2">
        <v>45951</v>
      </c>
      <c r="C191" t="s">
        <v>445</v>
      </c>
      <c r="D191" t="s">
        <v>93</v>
      </c>
      <c r="E191" t="s">
        <v>35</v>
      </c>
      <c r="F191">
        <v>30</v>
      </c>
      <c r="G191" t="s">
        <v>44</v>
      </c>
      <c r="H191" t="s">
        <v>45</v>
      </c>
      <c r="I191" t="s">
        <v>80</v>
      </c>
      <c r="J191" t="s">
        <v>47</v>
      </c>
      <c r="K191" t="s">
        <v>80</v>
      </c>
      <c r="L191" t="s">
        <v>105</v>
      </c>
      <c r="M191">
        <v>4</v>
      </c>
      <c r="N191">
        <v>23630</v>
      </c>
      <c r="O191">
        <v>15</v>
      </c>
      <c r="P191">
        <v>14178</v>
      </c>
      <c r="Q191">
        <v>80342</v>
      </c>
      <c r="R191">
        <v>67232.62</v>
      </c>
      <c r="S191">
        <v>13109.38</v>
      </c>
      <c r="T191" t="s">
        <v>55</v>
      </c>
      <c r="U191" t="s">
        <v>68</v>
      </c>
    </row>
    <row r="192" spans="1:21" x14ac:dyDescent="0.3">
      <c r="A192" t="s">
        <v>446</v>
      </c>
      <c r="B192" s="2">
        <v>45952</v>
      </c>
      <c r="C192" t="s">
        <v>447</v>
      </c>
      <c r="D192" t="s">
        <v>71</v>
      </c>
      <c r="E192" t="s">
        <v>35</v>
      </c>
      <c r="F192">
        <v>53</v>
      </c>
      <c r="G192" t="s">
        <v>59</v>
      </c>
      <c r="H192" t="s">
        <v>60</v>
      </c>
      <c r="I192" t="s">
        <v>67</v>
      </c>
      <c r="J192" t="s">
        <v>47</v>
      </c>
      <c r="K192" t="s">
        <v>67</v>
      </c>
      <c r="L192" t="s">
        <v>151</v>
      </c>
      <c r="M192">
        <v>1</v>
      </c>
      <c r="N192">
        <v>45613</v>
      </c>
      <c r="O192">
        <v>5</v>
      </c>
      <c r="P192">
        <v>2280.65</v>
      </c>
      <c r="Q192">
        <v>43332.35</v>
      </c>
      <c r="R192">
        <v>35799.33</v>
      </c>
      <c r="S192">
        <v>7533.02</v>
      </c>
      <c r="T192" t="s">
        <v>30</v>
      </c>
      <c r="U192" t="s">
        <v>31</v>
      </c>
    </row>
    <row r="193" spans="1:21" x14ac:dyDescent="0.3">
      <c r="A193" t="s">
        <v>448</v>
      </c>
      <c r="B193" s="2">
        <v>45953</v>
      </c>
      <c r="C193" t="s">
        <v>449</v>
      </c>
      <c r="D193" t="s">
        <v>76</v>
      </c>
      <c r="E193" t="s">
        <v>24</v>
      </c>
      <c r="F193">
        <v>52</v>
      </c>
      <c r="G193" t="s">
        <v>72</v>
      </c>
      <c r="H193" t="s">
        <v>73</v>
      </c>
      <c r="I193" t="s">
        <v>80</v>
      </c>
      <c r="J193" t="s">
        <v>47</v>
      </c>
      <c r="K193" t="s">
        <v>80</v>
      </c>
      <c r="L193" t="s">
        <v>105</v>
      </c>
      <c r="M193">
        <v>1</v>
      </c>
      <c r="N193">
        <v>33565</v>
      </c>
      <c r="O193">
        <v>0</v>
      </c>
      <c r="P193">
        <v>0</v>
      </c>
      <c r="Q193">
        <v>33565</v>
      </c>
      <c r="R193">
        <v>23742.17</v>
      </c>
      <c r="S193">
        <v>9822.83</v>
      </c>
      <c r="T193" t="s">
        <v>40</v>
      </c>
      <c r="U193" t="s">
        <v>90</v>
      </c>
    </row>
    <row r="194" spans="1:21" x14ac:dyDescent="0.3">
      <c r="A194" t="s">
        <v>450</v>
      </c>
      <c r="B194" s="2">
        <v>45954</v>
      </c>
      <c r="C194" t="s">
        <v>155</v>
      </c>
      <c r="D194" t="s">
        <v>34</v>
      </c>
      <c r="E194" t="s">
        <v>24</v>
      </c>
      <c r="F194">
        <v>45</v>
      </c>
      <c r="G194" t="s">
        <v>36</v>
      </c>
      <c r="H194" t="s">
        <v>37</v>
      </c>
      <c r="I194" t="s">
        <v>63</v>
      </c>
      <c r="J194" t="s">
        <v>47</v>
      </c>
      <c r="K194" t="s">
        <v>63</v>
      </c>
      <c r="L194" t="s">
        <v>54</v>
      </c>
      <c r="M194">
        <v>2</v>
      </c>
      <c r="N194">
        <v>39969</v>
      </c>
      <c r="O194">
        <v>0</v>
      </c>
      <c r="P194">
        <v>0</v>
      </c>
      <c r="Q194">
        <v>79938</v>
      </c>
      <c r="R194">
        <v>65265.59</v>
      </c>
      <c r="S194">
        <v>14672.41</v>
      </c>
      <c r="T194" t="s">
        <v>30</v>
      </c>
      <c r="U194" t="s">
        <v>68</v>
      </c>
    </row>
    <row r="195" spans="1:21" x14ac:dyDescent="0.3">
      <c r="A195" t="s">
        <v>451</v>
      </c>
      <c r="B195" s="2">
        <v>45955</v>
      </c>
      <c r="C195" t="s">
        <v>323</v>
      </c>
      <c r="D195" t="s">
        <v>116</v>
      </c>
      <c r="E195" t="s">
        <v>35</v>
      </c>
      <c r="F195">
        <v>31</v>
      </c>
      <c r="G195" t="s">
        <v>25</v>
      </c>
      <c r="H195" t="s">
        <v>26</v>
      </c>
      <c r="I195" t="s">
        <v>67</v>
      </c>
      <c r="J195" t="s">
        <v>47</v>
      </c>
      <c r="K195" t="s">
        <v>67</v>
      </c>
      <c r="L195" t="s">
        <v>89</v>
      </c>
      <c r="M195">
        <v>3</v>
      </c>
      <c r="N195">
        <v>12061</v>
      </c>
      <c r="O195">
        <v>10</v>
      </c>
      <c r="P195">
        <v>3618.3</v>
      </c>
      <c r="Q195">
        <v>32564.7</v>
      </c>
      <c r="R195">
        <v>25284.95</v>
      </c>
      <c r="S195">
        <v>7279.75</v>
      </c>
      <c r="T195" t="s">
        <v>55</v>
      </c>
      <c r="U195" t="s">
        <v>31</v>
      </c>
    </row>
    <row r="196" spans="1:21" x14ac:dyDescent="0.3">
      <c r="A196" t="s">
        <v>452</v>
      </c>
      <c r="B196" s="2">
        <v>45956</v>
      </c>
      <c r="C196" t="s">
        <v>453</v>
      </c>
      <c r="D196" t="s">
        <v>71</v>
      </c>
      <c r="E196" t="s">
        <v>35</v>
      </c>
      <c r="F196">
        <v>59</v>
      </c>
      <c r="G196" t="s">
        <v>25</v>
      </c>
      <c r="H196" t="s">
        <v>26</v>
      </c>
      <c r="I196" t="s">
        <v>80</v>
      </c>
      <c r="J196" t="s">
        <v>47</v>
      </c>
      <c r="K196" t="s">
        <v>80</v>
      </c>
      <c r="L196" t="s">
        <v>105</v>
      </c>
      <c r="M196">
        <v>4</v>
      </c>
      <c r="N196">
        <v>38710</v>
      </c>
      <c r="O196">
        <v>15</v>
      </c>
      <c r="P196">
        <v>23226</v>
      </c>
      <c r="Q196">
        <v>131614</v>
      </c>
      <c r="R196">
        <v>101178.17</v>
      </c>
      <c r="S196">
        <v>30435.83</v>
      </c>
      <c r="T196" t="s">
        <v>30</v>
      </c>
      <c r="U196" t="s">
        <v>31</v>
      </c>
    </row>
    <row r="197" spans="1:21" x14ac:dyDescent="0.3">
      <c r="A197" t="s">
        <v>454</v>
      </c>
      <c r="B197" s="2">
        <v>45957</v>
      </c>
      <c r="C197" t="s">
        <v>251</v>
      </c>
      <c r="D197" t="s">
        <v>34</v>
      </c>
      <c r="E197" t="s">
        <v>24</v>
      </c>
      <c r="F197">
        <v>50</v>
      </c>
      <c r="G197" t="s">
        <v>72</v>
      </c>
      <c r="H197" t="s">
        <v>73</v>
      </c>
      <c r="I197" t="s">
        <v>38</v>
      </c>
      <c r="J197" t="s">
        <v>39</v>
      </c>
      <c r="K197" t="s">
        <v>38</v>
      </c>
      <c r="L197" t="s">
        <v>168</v>
      </c>
      <c r="M197">
        <v>2</v>
      </c>
      <c r="N197">
        <v>39579</v>
      </c>
      <c r="O197">
        <v>0</v>
      </c>
      <c r="P197">
        <v>0</v>
      </c>
      <c r="Q197">
        <v>79158</v>
      </c>
      <c r="R197">
        <v>65653.14</v>
      </c>
      <c r="S197">
        <v>13504.86</v>
      </c>
      <c r="T197" t="s">
        <v>30</v>
      </c>
      <c r="U197" t="s">
        <v>90</v>
      </c>
    </row>
    <row r="198" spans="1:21" x14ac:dyDescent="0.3">
      <c r="A198" t="s">
        <v>455</v>
      </c>
      <c r="B198" s="2">
        <v>45958</v>
      </c>
      <c r="C198" t="s">
        <v>456</v>
      </c>
      <c r="D198" t="s">
        <v>133</v>
      </c>
      <c r="E198" t="s">
        <v>35</v>
      </c>
      <c r="F198">
        <v>33</v>
      </c>
      <c r="G198" t="s">
        <v>98</v>
      </c>
      <c r="H198" t="s">
        <v>98</v>
      </c>
      <c r="I198" t="s">
        <v>80</v>
      </c>
      <c r="J198" t="s">
        <v>47</v>
      </c>
      <c r="K198" t="s">
        <v>80</v>
      </c>
      <c r="L198" t="s">
        <v>168</v>
      </c>
      <c r="M198">
        <v>1</v>
      </c>
      <c r="N198">
        <v>4338</v>
      </c>
      <c r="O198">
        <v>20</v>
      </c>
      <c r="P198">
        <v>867.6</v>
      </c>
      <c r="Q198">
        <v>3470.4</v>
      </c>
      <c r="R198">
        <v>2686.96</v>
      </c>
      <c r="S198">
        <v>783.44</v>
      </c>
      <c r="T198" t="s">
        <v>30</v>
      </c>
      <c r="U198" t="s">
        <v>31</v>
      </c>
    </row>
    <row r="199" spans="1:21" x14ac:dyDescent="0.3">
      <c r="A199" t="s">
        <v>457</v>
      </c>
      <c r="B199" s="2">
        <v>45959</v>
      </c>
      <c r="C199" t="s">
        <v>249</v>
      </c>
      <c r="D199" t="s">
        <v>34</v>
      </c>
      <c r="E199" t="s">
        <v>24</v>
      </c>
      <c r="F199">
        <v>25</v>
      </c>
      <c r="G199" t="s">
        <v>110</v>
      </c>
      <c r="H199" t="s">
        <v>111</v>
      </c>
      <c r="I199" t="s">
        <v>27</v>
      </c>
      <c r="J199" t="s">
        <v>28</v>
      </c>
      <c r="K199" t="s">
        <v>27</v>
      </c>
      <c r="L199" t="s">
        <v>29</v>
      </c>
      <c r="M199">
        <v>2</v>
      </c>
      <c r="N199">
        <v>26794</v>
      </c>
      <c r="O199">
        <v>20</v>
      </c>
      <c r="P199">
        <v>10717.6</v>
      </c>
      <c r="Q199">
        <v>42870.400000000001</v>
      </c>
      <c r="R199">
        <v>31757.29</v>
      </c>
      <c r="S199">
        <v>11113.11</v>
      </c>
      <c r="T199" t="s">
        <v>55</v>
      </c>
      <c r="U199" t="s">
        <v>68</v>
      </c>
    </row>
    <row r="200" spans="1:21" x14ac:dyDescent="0.3">
      <c r="A200" t="s">
        <v>458</v>
      </c>
      <c r="B200" s="2">
        <v>45960</v>
      </c>
      <c r="C200" t="s">
        <v>459</v>
      </c>
      <c r="D200" t="s">
        <v>43</v>
      </c>
      <c r="E200" t="s">
        <v>35</v>
      </c>
      <c r="F200">
        <v>30</v>
      </c>
      <c r="G200" t="s">
        <v>59</v>
      </c>
      <c r="H200" t="s">
        <v>60</v>
      </c>
      <c r="I200" t="s">
        <v>63</v>
      </c>
      <c r="J200" t="s">
        <v>47</v>
      </c>
      <c r="K200" t="s">
        <v>63</v>
      </c>
      <c r="L200" t="s">
        <v>89</v>
      </c>
      <c r="M200">
        <v>3</v>
      </c>
      <c r="N200">
        <v>52636</v>
      </c>
      <c r="O200">
        <v>20</v>
      </c>
      <c r="P200">
        <v>31581.599999999999</v>
      </c>
      <c r="Q200">
        <v>126326.39999999999</v>
      </c>
      <c r="R200">
        <v>70326.789999999994</v>
      </c>
      <c r="S200">
        <v>55999.61</v>
      </c>
      <c r="T200" t="s">
        <v>95</v>
      </c>
      <c r="U200" t="s">
        <v>90</v>
      </c>
    </row>
    <row r="201" spans="1:21" x14ac:dyDescent="0.3">
      <c r="A201" t="s">
        <v>460</v>
      </c>
      <c r="B201" s="2">
        <v>45961</v>
      </c>
      <c r="C201" t="s">
        <v>272</v>
      </c>
      <c r="D201" t="s">
        <v>86</v>
      </c>
      <c r="E201" t="s">
        <v>35</v>
      </c>
      <c r="F201">
        <v>39</v>
      </c>
      <c r="G201" t="s">
        <v>59</v>
      </c>
      <c r="H201" t="s">
        <v>60</v>
      </c>
      <c r="I201" t="s">
        <v>38</v>
      </c>
      <c r="J201" t="s">
        <v>39</v>
      </c>
      <c r="K201" t="s">
        <v>38</v>
      </c>
      <c r="L201" t="s">
        <v>81</v>
      </c>
      <c r="M201">
        <v>1</v>
      </c>
      <c r="N201">
        <v>995</v>
      </c>
      <c r="O201">
        <v>10</v>
      </c>
      <c r="P201">
        <v>99.5</v>
      </c>
      <c r="Q201">
        <v>895.5</v>
      </c>
      <c r="R201">
        <v>610.16</v>
      </c>
      <c r="S201">
        <v>285.33999999999997</v>
      </c>
      <c r="T201" t="s">
        <v>95</v>
      </c>
      <c r="U201" t="s">
        <v>68</v>
      </c>
    </row>
  </sheetData>
  <autoFilter ref="A1:U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2CE5F-E55B-4844-B2C1-0DBBB942FAB2}">
  <dimension ref="A3:Z27"/>
  <sheetViews>
    <sheetView zoomScale="50" zoomScaleNormal="50" zoomScaleSheetLayoutView="70" workbookViewId="0">
      <selection activeCell="U45" sqref="U45"/>
    </sheetView>
  </sheetViews>
  <sheetFormatPr defaultRowHeight="14.4" x14ac:dyDescent="0.3"/>
  <cols>
    <col min="1" max="1" width="19.21875" bestFit="1" customWidth="1"/>
    <col min="2" max="2" width="26.33203125" bestFit="1" customWidth="1"/>
    <col min="5" max="5" width="19.21875" bestFit="1" customWidth="1"/>
    <col min="6" max="6" width="26.33203125" bestFit="1" customWidth="1"/>
    <col min="7" max="7" width="18.88671875" bestFit="1" customWidth="1"/>
    <col min="9" max="9" width="19.21875" bestFit="1" customWidth="1"/>
    <col min="10" max="10" width="26.33203125" bestFit="1" customWidth="1"/>
    <col min="13" max="13" width="19.21875" bestFit="1" customWidth="1"/>
    <col min="14" max="14" width="26.33203125" bestFit="1" customWidth="1"/>
    <col min="16" max="16" width="19.21875" bestFit="1" customWidth="1"/>
    <col min="17" max="17" width="26.33203125" bestFit="1" customWidth="1"/>
    <col min="20" max="20" width="19.21875" bestFit="1" customWidth="1"/>
    <col min="21" max="21" width="26.33203125" bestFit="1" customWidth="1"/>
    <col min="24" max="24" width="26.33203125" bestFit="1" customWidth="1"/>
    <col min="25" max="25" width="18.77734375" bestFit="1" customWidth="1"/>
    <col min="26" max="26" width="31" bestFit="1" customWidth="1"/>
    <col min="29" max="29" width="22.6640625" bestFit="1" customWidth="1"/>
  </cols>
  <sheetData>
    <row r="3" spans="1:26" x14ac:dyDescent="0.3">
      <c r="A3" s="4" t="s">
        <v>461</v>
      </c>
      <c r="B3" t="s">
        <v>470</v>
      </c>
      <c r="E3" s="4" t="s">
        <v>461</v>
      </c>
      <c r="F3" t="s">
        <v>470</v>
      </c>
      <c r="I3" s="4" t="s">
        <v>461</v>
      </c>
      <c r="J3" t="s">
        <v>470</v>
      </c>
      <c r="M3" s="4" t="s">
        <v>461</v>
      </c>
      <c r="N3" t="s">
        <v>470</v>
      </c>
      <c r="P3" s="4" t="s">
        <v>461</v>
      </c>
      <c r="Q3" t="s">
        <v>470</v>
      </c>
      <c r="T3" s="4" t="s">
        <v>461</v>
      </c>
      <c r="U3" t="s">
        <v>470</v>
      </c>
      <c r="X3" t="s">
        <v>470</v>
      </c>
    </row>
    <row r="4" spans="1:26" x14ac:dyDescent="0.3">
      <c r="A4" s="5" t="s">
        <v>463</v>
      </c>
      <c r="B4" s="6">
        <v>6.420036998691947E-2</v>
      </c>
      <c r="E4" s="5" t="s">
        <v>27</v>
      </c>
      <c r="F4" s="6">
        <v>0.12203026966157468</v>
      </c>
      <c r="I4" s="5" t="s">
        <v>168</v>
      </c>
      <c r="J4" s="6">
        <v>0.12556744935640196</v>
      </c>
      <c r="M4" s="5" t="s">
        <v>95</v>
      </c>
      <c r="N4" s="6">
        <v>0.21061030679292189</v>
      </c>
      <c r="P4" s="5" t="s">
        <v>98</v>
      </c>
      <c r="Q4" s="6">
        <v>8.632148925170903E-2</v>
      </c>
      <c r="T4" s="5" t="s">
        <v>49</v>
      </c>
      <c r="U4" s="6">
        <v>0.13172779499050433</v>
      </c>
      <c r="X4" s="7">
        <v>17398479.949999999</v>
      </c>
      <c r="Z4" t="s">
        <v>471</v>
      </c>
    </row>
    <row r="5" spans="1:26" x14ac:dyDescent="0.3">
      <c r="A5" s="5" t="s">
        <v>464</v>
      </c>
      <c r="B5" s="6">
        <v>0.15428719392236331</v>
      </c>
      <c r="E5" s="5" t="s">
        <v>63</v>
      </c>
      <c r="F5" s="6">
        <v>0.16279505497835173</v>
      </c>
      <c r="I5" s="5" t="s">
        <v>54</v>
      </c>
      <c r="J5" s="6">
        <v>0.17000165867938366</v>
      </c>
      <c r="M5" s="5" t="s">
        <v>64</v>
      </c>
      <c r="N5" s="6">
        <v>0.17632998163152752</v>
      </c>
      <c r="P5" s="5" t="s">
        <v>102</v>
      </c>
      <c r="Q5" s="6">
        <v>0.120288172071032</v>
      </c>
      <c r="T5" s="5" t="s">
        <v>31</v>
      </c>
      <c r="U5" s="6">
        <v>0.51870109204568771</v>
      </c>
      <c r="Z5" s="7">
        <v>86992.399749999997</v>
      </c>
    </row>
    <row r="6" spans="1:26" x14ac:dyDescent="0.3">
      <c r="A6" s="5" t="s">
        <v>465</v>
      </c>
      <c r="B6" s="6">
        <v>0.1262249119642202</v>
      </c>
      <c r="E6" s="5" t="s">
        <v>80</v>
      </c>
      <c r="F6" s="6">
        <v>9.9166924636999693E-2</v>
      </c>
      <c r="I6" s="5" t="s">
        <v>89</v>
      </c>
      <c r="J6" s="6">
        <v>0.11978524595190283</v>
      </c>
      <c r="M6" s="5" t="s">
        <v>40</v>
      </c>
      <c r="N6" s="6">
        <v>0.23213111499433028</v>
      </c>
      <c r="P6" s="5" t="s">
        <v>26</v>
      </c>
      <c r="Q6" s="6">
        <v>0.12462350769901598</v>
      </c>
      <c r="T6" s="5" t="s">
        <v>68</v>
      </c>
      <c r="U6" s="6">
        <v>0.15849386888536776</v>
      </c>
    </row>
    <row r="7" spans="1:26" x14ac:dyDescent="0.3">
      <c r="A7" s="5" t="s">
        <v>466</v>
      </c>
      <c r="B7" s="6">
        <v>0.17552289100979768</v>
      </c>
      <c r="E7" s="5" t="s">
        <v>53</v>
      </c>
      <c r="F7" s="6">
        <v>0.11630601959569463</v>
      </c>
      <c r="I7" s="5" t="s">
        <v>48</v>
      </c>
      <c r="J7" s="6">
        <v>0.1387242079156461</v>
      </c>
      <c r="M7" s="5" t="s">
        <v>55</v>
      </c>
      <c r="N7" s="6">
        <v>0.22075172722200942</v>
      </c>
      <c r="P7" s="5" t="s">
        <v>60</v>
      </c>
      <c r="Q7" s="6">
        <v>0.14555552308464742</v>
      </c>
      <c r="T7" s="5" t="s">
        <v>90</v>
      </c>
      <c r="U7" s="6">
        <v>0.19107724407844032</v>
      </c>
      <c r="X7" s="7">
        <f>X4</f>
        <v>17398479.949999999</v>
      </c>
      <c r="Z7" s="7">
        <f>Z5</f>
        <v>86992.399749999997</v>
      </c>
    </row>
    <row r="8" spans="1:26" x14ac:dyDescent="0.3">
      <c r="A8" s="5" t="s">
        <v>467</v>
      </c>
      <c r="B8" s="6">
        <v>0.18096111034113646</v>
      </c>
      <c r="E8" s="5" t="s">
        <v>67</v>
      </c>
      <c r="F8" s="6">
        <v>9.1870491249438149E-2</v>
      </c>
      <c r="I8" s="5" t="s">
        <v>81</v>
      </c>
      <c r="J8" s="6">
        <v>9.6049071804114719E-2</v>
      </c>
      <c r="M8" s="5" t="s">
        <v>30</v>
      </c>
      <c r="N8" s="6">
        <v>0.16017686935921088</v>
      </c>
      <c r="P8" s="5" t="s">
        <v>88</v>
      </c>
      <c r="Q8" s="6">
        <v>0.11895403540698393</v>
      </c>
      <c r="T8" s="5" t="s">
        <v>462</v>
      </c>
      <c r="U8" s="6">
        <v>1</v>
      </c>
    </row>
    <row r="9" spans="1:26" x14ac:dyDescent="0.3">
      <c r="A9" s="5" t="s">
        <v>468</v>
      </c>
      <c r="B9" s="6">
        <v>0.15358188518072236</v>
      </c>
      <c r="E9" s="5" t="s">
        <v>46</v>
      </c>
      <c r="F9" s="6">
        <v>0.1741722902637825</v>
      </c>
      <c r="I9" s="5" t="s">
        <v>29</v>
      </c>
      <c r="J9" s="6">
        <v>0.15044387541453011</v>
      </c>
      <c r="M9" s="5" t="s">
        <v>462</v>
      </c>
      <c r="N9" s="6">
        <v>1</v>
      </c>
      <c r="P9" s="5" t="s">
        <v>73</v>
      </c>
      <c r="Q9" s="6">
        <v>0.11955406771038064</v>
      </c>
    </row>
    <row r="10" spans="1:26" x14ac:dyDescent="0.3">
      <c r="A10" s="5" t="s">
        <v>469</v>
      </c>
      <c r="B10" s="6">
        <v>0.14522163759484058</v>
      </c>
      <c r="E10" s="5" t="s">
        <v>38</v>
      </c>
      <c r="F10" s="6">
        <v>0.10613388958729122</v>
      </c>
      <c r="I10" s="5" t="s">
        <v>151</v>
      </c>
      <c r="J10" s="6">
        <v>0.12911812160923863</v>
      </c>
      <c r="P10" s="5" t="s">
        <v>111</v>
      </c>
      <c r="Q10" s="6">
        <v>0.13152760796209673</v>
      </c>
    </row>
    <row r="11" spans="1:26" x14ac:dyDescent="0.3">
      <c r="A11" s="5" t="s">
        <v>462</v>
      </c>
      <c r="B11" s="6">
        <v>1</v>
      </c>
      <c r="E11" s="5" t="s">
        <v>94</v>
      </c>
      <c r="F11" s="6">
        <v>0.12752506002686748</v>
      </c>
      <c r="I11" s="5" t="s">
        <v>105</v>
      </c>
      <c r="J11" s="6">
        <v>7.0310369268782022E-2</v>
      </c>
      <c r="P11" s="5" t="s">
        <v>37</v>
      </c>
      <c r="Q11" s="6">
        <v>6.0702880541009571E-2</v>
      </c>
    </row>
    <row r="12" spans="1:26" x14ac:dyDescent="0.3">
      <c r="I12" s="5" t="s">
        <v>462</v>
      </c>
      <c r="J12" s="6">
        <v>1</v>
      </c>
      <c r="P12" s="5" t="s">
        <v>45</v>
      </c>
      <c r="Q12" s="6">
        <v>9.2472716273124769E-2</v>
      </c>
    </row>
    <row r="18" spans="6:17" x14ac:dyDescent="0.3">
      <c r="P18" s="8" t="s">
        <v>461</v>
      </c>
      <c r="Q18" s="8" t="s">
        <v>470</v>
      </c>
    </row>
    <row r="19" spans="6:17" x14ac:dyDescent="0.3">
      <c r="F19" t="s">
        <v>461</v>
      </c>
      <c r="G19" t="s">
        <v>470</v>
      </c>
      <c r="P19" t="str">
        <f>IF(P4=0," ", P4)</f>
        <v>Delhi</v>
      </c>
      <c r="Q19">
        <f>IF(Q4=0," ",Q4)</f>
        <v>8.632148925170903E-2</v>
      </c>
    </row>
    <row r="20" spans="6:17" x14ac:dyDescent="0.3">
      <c r="F20" t="str">
        <f>IF(E4=0," ",E4)</f>
        <v>Backpack</v>
      </c>
      <c r="G20" s="6">
        <f>IF(F4=0," ",F4)</f>
        <v>0.12203026966157468</v>
      </c>
      <c r="P20" t="str">
        <f t="shared" ref="P20:P29" si="0">IF(P5=0," ", P5)</f>
        <v>Gujarat</v>
      </c>
      <c r="Q20">
        <f t="shared" ref="Q20:Q27" si="1">IF(Q5=0," ",Q5)</f>
        <v>0.120288172071032</v>
      </c>
    </row>
    <row r="21" spans="6:17" x14ac:dyDescent="0.3">
      <c r="F21" t="str">
        <f t="shared" ref="F21:F27" si="2">IF(E5=0," ",E5)</f>
        <v>Camera</v>
      </c>
      <c r="G21" s="6">
        <f t="shared" ref="G21:G27" si="3">IF(F5=0," ",F5)</f>
        <v>0.16279505497835173</v>
      </c>
      <c r="P21" t="str">
        <f t="shared" si="0"/>
        <v>Karnataka</v>
      </c>
      <c r="Q21">
        <f t="shared" si="1"/>
        <v>0.12462350769901598</v>
      </c>
    </row>
    <row r="22" spans="6:17" x14ac:dyDescent="0.3">
      <c r="F22" t="str">
        <f t="shared" si="2"/>
        <v>Headphones</v>
      </c>
      <c r="G22" s="6">
        <f t="shared" si="3"/>
        <v>9.9166924636999693E-2</v>
      </c>
      <c r="P22" t="str">
        <f t="shared" si="0"/>
        <v>Maharashtra</v>
      </c>
      <c r="Q22">
        <f t="shared" si="1"/>
        <v>0.14555552308464742</v>
      </c>
    </row>
    <row r="23" spans="6:17" x14ac:dyDescent="0.3">
      <c r="F23" t="str">
        <f t="shared" si="2"/>
        <v>Keyboard</v>
      </c>
      <c r="G23" s="6">
        <f t="shared" si="3"/>
        <v>0.11630601959569463</v>
      </c>
      <c r="P23" t="str">
        <f t="shared" si="0"/>
        <v>Rajasthan</v>
      </c>
      <c r="Q23">
        <f t="shared" si="1"/>
        <v>0.11895403540698393</v>
      </c>
    </row>
    <row r="24" spans="6:17" x14ac:dyDescent="0.3">
      <c r="F24" t="str">
        <f t="shared" si="2"/>
        <v>Laptop</v>
      </c>
      <c r="G24" s="6">
        <f t="shared" si="3"/>
        <v>9.1870491249438149E-2</v>
      </c>
      <c r="P24" t="str">
        <f t="shared" si="0"/>
        <v>Tamil Nadu</v>
      </c>
      <c r="Q24">
        <f t="shared" si="1"/>
        <v>0.11955406771038064</v>
      </c>
    </row>
    <row r="25" spans="6:17" x14ac:dyDescent="0.3">
      <c r="F25" t="str">
        <f t="shared" si="2"/>
        <v>Phone</v>
      </c>
      <c r="G25" s="6">
        <f t="shared" si="3"/>
        <v>0.1741722902637825</v>
      </c>
      <c r="P25" t="str">
        <f t="shared" si="0"/>
        <v>Telangana</v>
      </c>
      <c r="Q25">
        <f t="shared" si="1"/>
        <v>0.13152760796209673</v>
      </c>
    </row>
    <row r="26" spans="6:17" x14ac:dyDescent="0.3">
      <c r="F26" t="str">
        <f t="shared" si="2"/>
        <v>Shoes</v>
      </c>
      <c r="G26" s="6">
        <f t="shared" si="3"/>
        <v>0.10613388958729122</v>
      </c>
      <c r="P26" t="str">
        <f t="shared" si="0"/>
        <v>Uttar Pradesh</v>
      </c>
      <c r="Q26">
        <f t="shared" si="1"/>
        <v>6.0702880541009571E-2</v>
      </c>
    </row>
    <row r="27" spans="6:17" x14ac:dyDescent="0.3">
      <c r="F27" t="str">
        <f t="shared" si="2"/>
        <v>Watch</v>
      </c>
      <c r="G27" s="6">
        <f t="shared" si="3"/>
        <v>0.12752506002686748</v>
      </c>
      <c r="P27" t="str">
        <f t="shared" si="0"/>
        <v>West Bengal</v>
      </c>
      <c r="Q27">
        <f t="shared" si="1"/>
        <v>9.2472716273124769E-2</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92AA-1574-48B1-95B0-EE257EB757B1}">
  <dimension ref="A1"/>
  <sheetViews>
    <sheetView zoomScaleNormal="100" workbookViewId="0">
      <selection activeCell="J22" sqref="J22"/>
    </sheetView>
  </sheetViews>
  <sheetFormatPr defaultRowHeight="14.4" x14ac:dyDescent="0.3"/>
  <cols>
    <col min="2" max="2" width="9.777343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Kpi Creation</vt:lpstr>
      <vt:lpstr>Dashboard Creation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navneet kumar yadav</cp:lastModifiedBy>
  <dcterms:created xsi:type="dcterms:W3CDTF">2026-06-11T09:27:40Z</dcterms:created>
  <dcterms:modified xsi:type="dcterms:W3CDTF">2026-06-30T14:00:18Z</dcterms:modified>
</cp:coreProperties>
</file>